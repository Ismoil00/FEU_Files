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1-050126\документы\Отчёты\"/>
    </mc:Choice>
  </mc:AlternateContent>
  <xr:revisionPtr revIDLastSave="0" documentId="13_ncr:1_{802477BA-61C0-404A-AF6E-0EA57563DABF}" xr6:coauthVersionLast="47" xr6:coauthVersionMax="47" xr10:uidLastSave="{00000000-0000-0000-0000-000000000000}"/>
  <bookViews>
    <workbookView xWindow="-108" yWindow="-108" windowWidth="23256" windowHeight="12576" tabRatio="0" xr2:uid="{00000000-000D-0000-FFFF-FFFF00000000}"/>
  </bookViews>
  <sheets>
    <sheet name="TDSheet" sheetId="1" r:id="rId1"/>
  </sheets>
  <calcPr calcId="181029"/>
</workbook>
</file>

<file path=xl/calcChain.xml><?xml version="1.0" encoding="utf-8"?>
<calcChain xmlns="http://schemas.openxmlformats.org/spreadsheetml/2006/main">
  <c r="S34" i="1" l="1"/>
  <c r="S33" i="1" s="1"/>
  <c r="S30" i="1" s="1"/>
  <c r="S35" i="1" s="1"/>
  <c r="S32" i="1"/>
  <c r="S31" i="1"/>
  <c r="S29" i="1"/>
  <c r="S28" i="1"/>
  <c r="S27" i="1"/>
  <c r="S24" i="1"/>
  <c r="S23" i="1"/>
  <c r="S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N35" i="1"/>
  <c r="K35" i="1"/>
  <c r="I35" i="1"/>
  <c r="I33" i="1"/>
  <c r="I30" i="1" s="1"/>
  <c r="I31" i="1"/>
  <c r="I27" i="1"/>
  <c r="I23" i="1"/>
  <c r="I21" i="1"/>
  <c r="F18" i="1"/>
  <c r="F15" i="1" s="1"/>
  <c r="F16" i="1"/>
  <c r="F12" i="1"/>
  <c r="F10" i="1"/>
  <c r="F7" i="1" s="1"/>
  <c r="F8" i="1"/>
  <c r="N20" i="1"/>
  <c r="K20" i="1"/>
  <c r="N12" i="1"/>
  <c r="N7" i="1" s="1"/>
  <c r="K12" i="1"/>
  <c r="N15" i="1"/>
  <c r="K15" i="1"/>
  <c r="I20" i="1" l="1"/>
  <c r="K7" i="1"/>
</calcChain>
</file>

<file path=xl/sharedStrings.xml><?xml version="1.0" encoding="utf-8"?>
<sst xmlns="http://schemas.openxmlformats.org/spreadsheetml/2006/main" count="43" uniqueCount="39">
  <si>
    <t>Счет</t>
  </si>
  <si>
    <t>Дебет</t>
  </si>
  <si>
    <t>Кредит</t>
  </si>
  <si>
    <t>ЗАО " Индиго Таджикистан"</t>
  </si>
  <si>
    <t>№15 от 30.06.2016</t>
  </si>
  <si>
    <t>№17 от 28.11.2016</t>
  </si>
  <si>
    <t>Итого</t>
  </si>
  <si>
    <t>ФЭУ</t>
  </si>
  <si>
    <t>1 23 100</t>
  </si>
  <si>
    <t>№1234 аз 01.01.25</t>
  </si>
  <si>
    <t>Бакия ба аввали давра</t>
  </si>
  <si>
    <t>Гардиши давра</t>
  </si>
  <si>
    <t>Бакия ба охири давра</t>
  </si>
  <si>
    <t>Шартномаҳо</t>
  </si>
  <si>
    <t>Контрагентҳо</t>
  </si>
  <si>
    <t>Анализи субконто Контрагентҳо, Шартномаҳо барои Январи 2025 с.</t>
  </si>
  <si>
    <t>ООО "123"</t>
  </si>
  <si>
    <t>№3 аз 03.03.2025</t>
  </si>
  <si>
    <t>ООО "456"</t>
  </si>
  <si>
    <t>№100 аз 18.04.2025</t>
  </si>
  <si>
    <t>№101 аз 18.06.2025</t>
  </si>
  <si>
    <t>1 15 100</t>
  </si>
  <si>
    <t>2 11 110</t>
  </si>
  <si>
    <t>2 11 120</t>
  </si>
  <si>
    <t>LLC 111</t>
  </si>
  <si>
    <t>№1234 аз 01.02.2025</t>
  </si>
  <si>
    <t xml:space="preserve">КВД "1234" </t>
  </si>
  <si>
    <t>№22/01 аз 04.03.2025</t>
  </si>
  <si>
    <t>Алишеров А.А.</t>
  </si>
  <si>
    <t>СИ "123"</t>
  </si>
  <si>
    <t>№654321 аз 09.01.2025</t>
  </si>
  <si>
    <t>ООО "852"</t>
  </si>
  <si>
    <t>№73 аз 05.05.2025</t>
  </si>
  <si>
    <t>№4 аз 04.04.2025</t>
  </si>
  <si>
    <t>№123333 аз 12.04.2025</t>
  </si>
  <si>
    <t>ООО "ББББ"</t>
  </si>
  <si>
    <t>№14/55 аз 14.04.2025</t>
  </si>
  <si>
    <t>ООО "4444444"</t>
  </si>
  <si>
    <t>ЗАО "сСССс"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</si>
</sst>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E4F0DD"/>
      </patternFill>
    </fill>
    <fill>
      <patternFill patternType="solid">
        <fgColor rgb="FFF0F6EF"/>
      </patternFill>
    </fill>
  </fills>
  <borders count="13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/>
      <top/>
      <bottom style="thin">
        <color rgb="FFB3AC86"/>
      </bottom>
      <diagonal/>
    </border>
    <border>
      <left/>
      <right/>
      <top/>
      <bottom style="thin">
        <color rgb="FFB3AC86"/>
      </bottom>
      <diagonal/>
    </border>
    <border>
      <left/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 style="thin">
        <color rgb="FFB3AC86"/>
      </left>
      <right/>
      <top style="thin">
        <color rgb="FFB3AC86"/>
      </top>
      <bottom style="thin">
        <color rgb="FFB3AC86"/>
      </bottom>
      <diagonal/>
    </border>
    <border>
      <left/>
      <right/>
      <top style="thin">
        <color rgb="FFB3AC86"/>
      </top>
      <bottom style="thin">
        <color rgb="FFB3AC86"/>
      </bottom>
      <diagonal/>
    </border>
    <border>
      <left/>
      <right style="thin">
        <color rgb="FFB3AC86"/>
      </right>
      <top style="thin">
        <color rgb="FFB3AC86"/>
      </top>
      <bottom style="thin">
        <color rgb="FFB3AC86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left"/>
    </xf>
    <xf numFmtId="0" fontId="5" fillId="3" borderId="7" xfId="0" applyFont="1" applyFill="1" applyBorder="1" applyAlignment="1">
      <alignment horizontal="right" vertical="top" wrapText="1"/>
    </xf>
    <xf numFmtId="0" fontId="5" fillId="3" borderId="8" xfId="0" applyFont="1" applyFill="1" applyBorder="1" applyAlignment="1">
      <alignment horizontal="right" vertical="top" wrapText="1"/>
    </xf>
    <xf numFmtId="0" fontId="5" fillId="4" borderId="7" xfId="0" applyFont="1" applyFill="1" applyBorder="1" applyAlignment="1">
      <alignment horizontal="right" vertical="top" wrapText="1"/>
    </xf>
    <xf numFmtId="0" fontId="5" fillId="4" borderId="8" xfId="0" applyFont="1" applyFill="1" applyBorder="1" applyAlignment="1">
      <alignment horizontal="right" vertical="top" wrapText="1"/>
    </xf>
    <xf numFmtId="0" fontId="5" fillId="4" borderId="9" xfId="0" applyFont="1" applyFill="1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9" xfId="0" applyBorder="1" applyAlignment="1">
      <alignment horizontal="right" vertical="top" wrapText="1"/>
    </xf>
    <xf numFmtId="0" fontId="5" fillId="3" borderId="9" xfId="0" applyFont="1" applyFill="1" applyBorder="1" applyAlignment="1">
      <alignment horizontal="right" vertical="top" wrapText="1"/>
    </xf>
    <xf numFmtId="0" fontId="4" fillId="2" borderId="10" xfId="0" applyFont="1" applyFill="1" applyBorder="1" applyAlignment="1">
      <alignment horizontal="right" vertical="top" wrapText="1"/>
    </xf>
    <xf numFmtId="0" fontId="4" fillId="2" borderId="11" xfId="0" applyFont="1" applyFill="1" applyBorder="1" applyAlignment="1">
      <alignment horizontal="right" vertical="top" wrapText="1"/>
    </xf>
    <xf numFmtId="0" fontId="4" fillId="2" borderId="12" xfId="0" applyFont="1" applyFill="1" applyBorder="1" applyAlignment="1">
      <alignment horizontal="right" vertical="top" wrapText="1"/>
    </xf>
    <xf numFmtId="43" fontId="5" fillId="4" borderId="7" xfId="1" applyFont="1" applyFill="1" applyBorder="1" applyAlignment="1">
      <alignment vertical="top" wrapText="1"/>
    </xf>
    <xf numFmtId="43" fontId="5" fillId="4" borderId="8" xfId="1" applyFont="1" applyFill="1" applyBorder="1" applyAlignment="1">
      <alignment vertical="top" wrapText="1"/>
    </xf>
    <xf numFmtId="4" fontId="5" fillId="4" borderId="8" xfId="0" applyNumberFormat="1" applyFont="1" applyFill="1" applyBorder="1" applyAlignment="1">
      <alignment horizontal="right" vertical="top" wrapText="1"/>
    </xf>
    <xf numFmtId="43" fontId="5" fillId="4" borderId="7" xfId="1" applyFont="1" applyFill="1" applyBorder="1" applyAlignment="1">
      <alignment horizontal="center" vertical="top" wrapText="1"/>
    </xf>
    <xf numFmtId="43" fontId="5" fillId="4" borderId="9" xfId="1" applyFont="1" applyFill="1" applyBorder="1" applyAlignment="1">
      <alignment horizontal="center" vertical="top" wrapText="1"/>
    </xf>
    <xf numFmtId="43" fontId="5" fillId="4" borderId="8" xfId="1" applyFont="1" applyFill="1" applyBorder="1" applyAlignment="1">
      <alignment horizontal="center" vertical="top" wrapText="1"/>
    </xf>
    <xf numFmtId="43" fontId="0" fillId="0" borderId="7" xfId="1" applyFont="1" applyBorder="1" applyAlignment="1">
      <alignment horizontal="center" vertical="top" wrapText="1"/>
    </xf>
    <xf numFmtId="43" fontId="0" fillId="0" borderId="9" xfId="1" applyFont="1" applyBorder="1" applyAlignment="1">
      <alignment horizontal="center" vertical="top" wrapText="1"/>
    </xf>
    <xf numFmtId="43" fontId="0" fillId="0" borderId="8" xfId="1" applyFont="1" applyBorder="1" applyAlignment="1">
      <alignment horizontal="center" vertical="top" wrapText="1"/>
    </xf>
    <xf numFmtId="2" fontId="0" fillId="0" borderId="6" xfId="0" applyNumberFormat="1" applyBorder="1" applyAlignment="1">
      <alignment horizontal="right"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1" fontId="5" fillId="3" borderId="6" xfId="0" applyNumberFormat="1" applyFont="1" applyFill="1" applyBorder="1" applyAlignment="1">
      <alignment horizontal="left" vertical="top" wrapText="1"/>
    </xf>
    <xf numFmtId="4" fontId="5" fillId="3" borderId="6" xfId="0" applyNumberFormat="1" applyFont="1" applyFill="1" applyBorder="1" applyAlignment="1">
      <alignment horizontal="right" vertical="top" wrapText="1"/>
    </xf>
    <xf numFmtId="4" fontId="0" fillId="0" borderId="6" xfId="0" applyNumberFormat="1" applyBorder="1" applyAlignment="1">
      <alignment horizontal="right" vertical="top" wrapText="1"/>
    </xf>
    <xf numFmtId="0" fontId="5" fillId="4" borderId="6" xfId="0" applyFont="1" applyFill="1" applyBorder="1" applyAlignment="1">
      <alignment horizontal="left" vertical="top" wrapText="1" indent="2"/>
    </xf>
    <xf numFmtId="2" fontId="5" fillId="4" borderId="6" xfId="0" applyNumberFormat="1" applyFont="1" applyFill="1" applyBorder="1" applyAlignment="1">
      <alignment horizontal="right" vertical="top" wrapText="1"/>
    </xf>
    <xf numFmtId="4" fontId="5" fillId="4" borderId="6" xfId="0" applyNumberFormat="1" applyFont="1" applyFill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 indent="4"/>
    </xf>
    <xf numFmtId="0" fontId="0" fillId="0" borderId="6" xfId="0" applyBorder="1" applyAlignment="1">
      <alignment horizontal="left" vertical="top" wrapText="1" indent="4"/>
    </xf>
    <xf numFmtId="2" fontId="7" fillId="4" borderId="6" xfId="0" applyNumberFormat="1" applyFont="1" applyFill="1" applyBorder="1" applyAlignment="1">
      <alignment horizontal="right" vertical="top" wrapText="1"/>
    </xf>
    <xf numFmtId="0" fontId="8" fillId="0" borderId="6" xfId="0" applyFont="1" applyBorder="1" applyAlignment="1">
      <alignment horizontal="left" vertical="top" wrapText="1" indent="4"/>
    </xf>
    <xf numFmtId="2" fontId="1" fillId="0" borderId="6" xfId="0" applyNumberFormat="1" applyFont="1" applyBorder="1" applyAlignment="1">
      <alignment horizontal="right" vertical="top" wrapText="1"/>
    </xf>
    <xf numFmtId="4" fontId="0" fillId="0" borderId="7" xfId="0" applyNumberFormat="1" applyBorder="1" applyAlignment="1">
      <alignment horizontal="right" vertical="top" wrapText="1"/>
    </xf>
    <xf numFmtId="4" fontId="0" fillId="0" borderId="8" xfId="0" applyNumberFormat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/>
    </xf>
    <xf numFmtId="4" fontId="4" fillId="2" borderId="1" xfId="0" applyNumberFormat="1" applyFont="1" applyFill="1" applyBorder="1" applyAlignment="1">
      <alignment horizontal="right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35"/>
  <sheetViews>
    <sheetView tabSelected="1" zoomScale="85" zoomScaleNormal="85" workbookViewId="0">
      <selection activeCell="F27" sqref="F27"/>
    </sheetView>
  </sheetViews>
  <sheetFormatPr defaultColWidth="10.42578125" defaultRowHeight="11.4" customHeight="1" outlineLevelRow="2" x14ac:dyDescent="0.2"/>
  <cols>
    <col min="1" max="1" width="10.42578125" style="1" customWidth="1"/>
    <col min="2" max="2" width="8.140625" style="1" customWidth="1"/>
    <col min="3" max="3" width="2.28515625" style="1" customWidth="1"/>
    <col min="4" max="4" width="10.42578125" style="1" customWidth="1"/>
    <col min="5" max="5" width="3.42578125" style="1" customWidth="1"/>
    <col min="6" max="6" width="7" style="1" customWidth="1"/>
    <col min="7" max="7" width="10.42578125" style="1" customWidth="1"/>
    <col min="8" max="8" width="1.140625" style="1" customWidth="1"/>
    <col min="9" max="10" width="9.28515625" style="1" customWidth="1"/>
    <col min="11" max="11" width="1.140625" style="1" customWidth="1"/>
    <col min="12" max="12" width="10.42578125" style="1" customWidth="1"/>
    <col min="13" max="13" width="7" style="1" customWidth="1"/>
    <col min="14" max="14" width="3.42578125" style="1" customWidth="1"/>
    <col min="15" max="15" width="10.42578125" style="1" customWidth="1"/>
    <col min="16" max="16" width="4.7109375" style="1" customWidth="1"/>
    <col min="17" max="17" width="5.85546875" style="1" customWidth="1"/>
    <col min="18" max="18" width="12.85546875" style="1" customWidth="1"/>
    <col min="19" max="19" width="1.7109375" style="1" customWidth="1"/>
    <col min="20" max="20" width="17" style="1" customWidth="1"/>
  </cols>
  <sheetData>
    <row r="1" spans="1:20" ht="13.05" customHeight="1" x14ac:dyDescent="0.25">
      <c r="A1" s="24" t="s">
        <v>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20" ht="16.05" customHeight="1" x14ac:dyDescent="0.3">
      <c r="A2" s="25" t="s">
        <v>15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20" ht="10.199999999999999" x14ac:dyDescent="0.2"/>
    <row r="4" spans="1:20" ht="13.05" customHeight="1" x14ac:dyDescent="0.2">
      <c r="A4" s="26" t="s">
        <v>0</v>
      </c>
      <c r="B4" s="26"/>
      <c r="C4" s="26"/>
      <c r="D4" s="26"/>
      <c r="E4" s="26"/>
      <c r="F4" s="27" t="s">
        <v>10</v>
      </c>
      <c r="G4" s="27"/>
      <c r="H4" s="27"/>
      <c r="I4" s="27"/>
      <c r="J4" s="27"/>
      <c r="K4" s="27" t="s">
        <v>11</v>
      </c>
      <c r="L4" s="27"/>
      <c r="M4" s="27"/>
      <c r="N4" s="27"/>
      <c r="O4" s="27"/>
      <c r="P4" s="27"/>
      <c r="Q4" s="27" t="s">
        <v>12</v>
      </c>
      <c r="R4" s="27"/>
      <c r="S4" s="27"/>
      <c r="T4" s="27"/>
    </row>
    <row r="5" spans="1:20" ht="13.05" customHeight="1" x14ac:dyDescent="0.2">
      <c r="A5" s="26" t="s">
        <v>14</v>
      </c>
      <c r="B5" s="26"/>
      <c r="C5" s="26"/>
      <c r="D5" s="26"/>
      <c r="E5" s="26"/>
      <c r="F5" s="28" t="s">
        <v>1</v>
      </c>
      <c r="G5" s="28"/>
      <c r="H5" s="28"/>
      <c r="I5" s="28" t="s">
        <v>2</v>
      </c>
      <c r="J5" s="28"/>
      <c r="K5" s="28" t="s">
        <v>1</v>
      </c>
      <c r="L5" s="28"/>
      <c r="M5" s="28"/>
      <c r="N5" s="28" t="s">
        <v>2</v>
      </c>
      <c r="O5" s="28"/>
      <c r="P5" s="28"/>
      <c r="Q5" s="28" t="s">
        <v>1</v>
      </c>
      <c r="R5" s="28"/>
      <c r="S5" s="28" t="s">
        <v>2</v>
      </c>
      <c r="T5" s="28"/>
    </row>
    <row r="6" spans="1:20" ht="13.05" customHeight="1" x14ac:dyDescent="0.2">
      <c r="A6" s="26" t="s">
        <v>13</v>
      </c>
      <c r="B6" s="26"/>
      <c r="C6" s="26"/>
      <c r="D6" s="26"/>
      <c r="E6" s="26"/>
      <c r="F6" s="29"/>
      <c r="G6" s="30"/>
      <c r="H6" s="31"/>
      <c r="I6" s="29"/>
      <c r="J6" s="31"/>
      <c r="K6" s="29"/>
      <c r="L6" s="30"/>
      <c r="M6" s="31"/>
      <c r="N6" s="29"/>
      <c r="O6" s="30"/>
      <c r="P6" s="31"/>
      <c r="Q6" s="29"/>
      <c r="R6" s="31"/>
      <c r="S6" s="29"/>
      <c r="T6" s="31"/>
    </row>
    <row r="7" spans="1:20" ht="10.95" customHeight="1" x14ac:dyDescent="0.2">
      <c r="A7" s="32" t="s">
        <v>8</v>
      </c>
      <c r="B7" s="32"/>
      <c r="C7" s="32"/>
      <c r="D7" s="32"/>
      <c r="E7" s="32"/>
      <c r="F7" s="33">
        <f>F8+F10+F12</f>
        <v>40500</v>
      </c>
      <c r="G7" s="33"/>
      <c r="H7" s="33"/>
      <c r="I7" s="2"/>
      <c r="J7" s="3"/>
      <c r="K7" s="33">
        <f>L8+L10+K12</f>
        <v>1000</v>
      </c>
      <c r="L7" s="33"/>
      <c r="M7" s="33"/>
      <c r="N7" s="33">
        <f>O8+O10+N12</f>
        <v>39400</v>
      </c>
      <c r="O7" s="33"/>
      <c r="P7" s="33"/>
      <c r="Q7" s="33">
        <f>Q8+Q10+Q12</f>
        <v>2100</v>
      </c>
      <c r="R7" s="33"/>
      <c r="S7" s="2"/>
      <c r="T7" s="3"/>
    </row>
    <row r="8" spans="1:20" ht="10.95" customHeight="1" outlineLevel="1" x14ac:dyDescent="0.2">
      <c r="A8" s="35" t="s">
        <v>28</v>
      </c>
      <c r="B8" s="35"/>
      <c r="C8" s="35"/>
      <c r="D8" s="35"/>
      <c r="E8" s="35"/>
      <c r="F8" s="36">
        <f>F9</f>
        <v>1500</v>
      </c>
      <c r="G8" s="36"/>
      <c r="H8" s="36"/>
      <c r="I8" s="4"/>
      <c r="J8" s="5"/>
      <c r="K8" s="4"/>
      <c r="L8" s="6"/>
      <c r="M8" s="5"/>
      <c r="N8" s="4"/>
      <c r="O8" s="6"/>
      <c r="P8" s="5"/>
      <c r="Q8" s="37">
        <f>Q9</f>
        <v>1500</v>
      </c>
      <c r="R8" s="37"/>
      <c r="S8" s="4"/>
      <c r="T8" s="5"/>
    </row>
    <row r="9" spans="1:20" ht="10.95" customHeight="1" outlineLevel="2" x14ac:dyDescent="0.2">
      <c r="A9" s="38" t="s">
        <v>9</v>
      </c>
      <c r="B9" s="39"/>
      <c r="C9" s="39"/>
      <c r="D9" s="39"/>
      <c r="E9" s="39"/>
      <c r="F9" s="23">
        <v>1500</v>
      </c>
      <c r="G9" s="23"/>
      <c r="H9" s="23"/>
      <c r="I9" s="7"/>
      <c r="J9" s="8"/>
      <c r="K9" s="7"/>
      <c r="L9" s="9"/>
      <c r="M9" s="8"/>
      <c r="N9" s="7"/>
      <c r="O9" s="9"/>
      <c r="P9" s="8"/>
      <c r="Q9" s="23">
        <f>F9+L9-O9</f>
        <v>1500</v>
      </c>
      <c r="R9" s="23"/>
      <c r="S9" s="7"/>
      <c r="T9" s="8"/>
    </row>
    <row r="10" spans="1:20" ht="10.95" customHeight="1" outlineLevel="1" x14ac:dyDescent="0.2">
      <c r="A10" s="35" t="s">
        <v>16</v>
      </c>
      <c r="B10" s="35"/>
      <c r="C10" s="35"/>
      <c r="D10" s="35"/>
      <c r="E10" s="35"/>
      <c r="F10" s="37">
        <f>F11</f>
        <v>31000</v>
      </c>
      <c r="G10" s="37"/>
      <c r="H10" s="37"/>
      <c r="I10" s="4"/>
      <c r="J10" s="5"/>
      <c r="K10" s="4"/>
      <c r="L10" s="6"/>
      <c r="M10" s="5"/>
      <c r="N10" s="5"/>
      <c r="O10" s="14">
        <v>31000</v>
      </c>
      <c r="P10" s="15"/>
      <c r="Q10" s="37">
        <f>Q11</f>
        <v>0</v>
      </c>
      <c r="R10" s="37"/>
      <c r="S10" s="4"/>
      <c r="T10" s="5"/>
    </row>
    <row r="11" spans="1:20" ht="10.95" customHeight="1" outlineLevel="2" x14ac:dyDescent="0.2">
      <c r="A11" s="39" t="s">
        <v>17</v>
      </c>
      <c r="B11" s="39"/>
      <c r="C11" s="39"/>
      <c r="D11" s="39"/>
      <c r="E11" s="39"/>
      <c r="F11" s="34">
        <v>31000</v>
      </c>
      <c r="G11" s="34"/>
      <c r="H11" s="34"/>
      <c r="I11" s="7"/>
      <c r="J11" s="8"/>
      <c r="K11" s="7"/>
      <c r="L11" s="9"/>
      <c r="M11" s="8"/>
      <c r="N11" s="34">
        <v>31000</v>
      </c>
      <c r="O11" s="34"/>
      <c r="P11" s="34"/>
      <c r="Q11" s="34">
        <f>F11+L11-N11</f>
        <v>0</v>
      </c>
      <c r="R11" s="34"/>
      <c r="S11" s="7"/>
      <c r="T11" s="8"/>
    </row>
    <row r="12" spans="1:20" ht="10.95" customHeight="1" outlineLevel="1" x14ac:dyDescent="0.2">
      <c r="A12" s="35" t="s">
        <v>18</v>
      </c>
      <c r="B12" s="35"/>
      <c r="C12" s="35"/>
      <c r="D12" s="35"/>
      <c r="E12" s="35"/>
      <c r="F12" s="37">
        <f>SUM(F13:H14)</f>
        <v>8000</v>
      </c>
      <c r="G12" s="37"/>
      <c r="H12" s="37"/>
      <c r="I12" s="4"/>
      <c r="J12" s="5"/>
      <c r="K12" s="17">
        <f>L13+K14</f>
        <v>1000</v>
      </c>
      <c r="L12" s="18"/>
      <c r="M12" s="19"/>
      <c r="N12" s="37">
        <f>O13+N14</f>
        <v>8400</v>
      </c>
      <c r="O12" s="37"/>
      <c r="P12" s="37"/>
      <c r="Q12" s="37">
        <f>Q13+Q14</f>
        <v>600</v>
      </c>
      <c r="R12" s="37"/>
      <c r="S12" s="4"/>
      <c r="T12" s="5"/>
    </row>
    <row r="13" spans="1:20" ht="10.95" customHeight="1" outlineLevel="2" x14ac:dyDescent="0.2">
      <c r="A13" s="39" t="s">
        <v>19</v>
      </c>
      <c r="B13" s="39"/>
      <c r="C13" s="39"/>
      <c r="D13" s="39"/>
      <c r="E13" s="39"/>
      <c r="F13" s="23">
        <v>500</v>
      </c>
      <c r="G13" s="23"/>
      <c r="H13" s="23"/>
      <c r="I13" s="7"/>
      <c r="J13" s="8"/>
      <c r="K13" s="7"/>
      <c r="L13" s="9"/>
      <c r="M13" s="8"/>
      <c r="N13" s="7"/>
      <c r="O13" s="9"/>
      <c r="P13" s="8"/>
      <c r="Q13" s="23">
        <f>F13+L13-O13</f>
        <v>500</v>
      </c>
      <c r="R13" s="23"/>
      <c r="S13" s="7"/>
      <c r="T13" s="8"/>
    </row>
    <row r="14" spans="1:20" ht="10.95" customHeight="1" outlineLevel="2" x14ac:dyDescent="0.2">
      <c r="A14" s="39" t="s">
        <v>20</v>
      </c>
      <c r="B14" s="39"/>
      <c r="C14" s="39"/>
      <c r="D14" s="39"/>
      <c r="E14" s="39"/>
      <c r="F14" s="34">
        <v>7500</v>
      </c>
      <c r="G14" s="34"/>
      <c r="H14" s="34"/>
      <c r="I14" s="7"/>
      <c r="J14" s="8"/>
      <c r="K14" s="20">
        <v>1000</v>
      </c>
      <c r="L14" s="21"/>
      <c r="M14" s="22"/>
      <c r="N14" s="20">
        <v>8400</v>
      </c>
      <c r="O14" s="21"/>
      <c r="P14" s="22"/>
      <c r="Q14" s="23">
        <f>F14+K14-N14</f>
        <v>100</v>
      </c>
      <c r="R14" s="23"/>
      <c r="S14" s="7"/>
      <c r="T14" s="8"/>
    </row>
    <row r="15" spans="1:20" ht="10.95" customHeight="1" x14ac:dyDescent="0.2">
      <c r="A15" s="32" t="s">
        <v>21</v>
      </c>
      <c r="B15" s="32"/>
      <c r="C15" s="32"/>
      <c r="D15" s="32"/>
      <c r="E15" s="32"/>
      <c r="F15" s="33">
        <f>F16+F18</f>
        <v>6400</v>
      </c>
      <c r="G15" s="33"/>
      <c r="H15" s="33"/>
      <c r="I15" s="2"/>
      <c r="J15" s="3"/>
      <c r="K15" s="33">
        <f>L16+L18</f>
        <v>0</v>
      </c>
      <c r="L15" s="33"/>
      <c r="M15" s="33"/>
      <c r="N15" s="33">
        <f>O16+O18</f>
        <v>0</v>
      </c>
      <c r="O15" s="33"/>
      <c r="P15" s="33"/>
      <c r="Q15" s="37">
        <f>Q16+Q18</f>
        <v>6400</v>
      </c>
      <c r="R15" s="37"/>
      <c r="S15" s="2"/>
      <c r="T15" s="3"/>
    </row>
    <row r="16" spans="1:20" ht="10.95" customHeight="1" outlineLevel="1" x14ac:dyDescent="0.2">
      <c r="A16" s="35" t="s">
        <v>29</v>
      </c>
      <c r="B16" s="35"/>
      <c r="C16" s="35"/>
      <c r="D16" s="35"/>
      <c r="E16" s="35"/>
      <c r="F16" s="40">
        <f>F17</f>
        <v>1900</v>
      </c>
      <c r="G16" s="40"/>
      <c r="H16" s="40"/>
      <c r="I16" s="4"/>
      <c r="J16" s="5"/>
      <c r="K16" s="4"/>
      <c r="L16" s="6"/>
      <c r="M16" s="5"/>
      <c r="N16" s="4"/>
      <c r="O16" s="6"/>
      <c r="P16" s="5"/>
      <c r="Q16" s="40">
        <f>Q17</f>
        <v>1900</v>
      </c>
      <c r="R16" s="40"/>
      <c r="S16" s="4"/>
      <c r="T16" s="5"/>
    </row>
    <row r="17" spans="1:20" ht="10.95" customHeight="1" outlineLevel="2" x14ac:dyDescent="0.2">
      <c r="A17" s="41" t="s">
        <v>30</v>
      </c>
      <c r="B17" s="39"/>
      <c r="C17" s="39"/>
      <c r="D17" s="39"/>
      <c r="E17" s="39"/>
      <c r="F17" s="42">
        <v>1900</v>
      </c>
      <c r="G17" s="42"/>
      <c r="H17" s="42"/>
      <c r="I17" s="7"/>
      <c r="J17" s="8"/>
      <c r="K17" s="7"/>
      <c r="L17" s="9"/>
      <c r="M17" s="8"/>
      <c r="N17" s="7"/>
      <c r="O17" s="9"/>
      <c r="P17" s="8"/>
      <c r="Q17" s="42">
        <f>F17+L17-O17</f>
        <v>1900</v>
      </c>
      <c r="R17" s="42"/>
      <c r="S17" s="7"/>
      <c r="T17" s="8"/>
    </row>
    <row r="18" spans="1:20" ht="10.199999999999999" outlineLevel="1" x14ac:dyDescent="0.2">
      <c r="A18" s="35" t="s">
        <v>31</v>
      </c>
      <c r="B18" s="35"/>
      <c r="C18" s="35"/>
      <c r="D18" s="35"/>
      <c r="E18" s="35"/>
      <c r="F18" s="37">
        <f>F19</f>
        <v>4500</v>
      </c>
      <c r="G18" s="37"/>
      <c r="H18" s="37"/>
      <c r="I18" s="4"/>
      <c r="J18" s="5"/>
      <c r="K18" s="4"/>
      <c r="L18" s="6"/>
      <c r="M18" s="5"/>
      <c r="N18" s="4"/>
      <c r="O18" s="6"/>
      <c r="P18" s="5"/>
      <c r="Q18" s="37">
        <f>Q19</f>
        <v>4500</v>
      </c>
      <c r="R18" s="37"/>
      <c r="S18" s="4"/>
      <c r="T18" s="5"/>
    </row>
    <row r="19" spans="1:20" ht="10.95" customHeight="1" outlineLevel="2" x14ac:dyDescent="0.2">
      <c r="A19" s="41" t="s">
        <v>32</v>
      </c>
      <c r="B19" s="39"/>
      <c r="C19" s="39"/>
      <c r="D19" s="39"/>
      <c r="E19" s="39"/>
      <c r="F19" s="34">
        <v>4500</v>
      </c>
      <c r="G19" s="34"/>
      <c r="H19" s="34"/>
      <c r="I19" s="7"/>
      <c r="J19" s="8"/>
      <c r="K19" s="7"/>
      <c r="L19" s="9"/>
      <c r="M19" s="8"/>
      <c r="N19" s="7"/>
      <c r="O19" s="9"/>
      <c r="P19" s="8"/>
      <c r="Q19" s="34">
        <f>F19+L19-O19</f>
        <v>4500</v>
      </c>
      <c r="R19" s="34"/>
      <c r="S19" s="7"/>
      <c r="T19" s="8"/>
    </row>
    <row r="20" spans="1:20" ht="10.95" customHeight="1" x14ac:dyDescent="0.2">
      <c r="A20" s="32" t="s">
        <v>22</v>
      </c>
      <c r="B20" s="32"/>
      <c r="C20" s="32"/>
      <c r="D20" s="32"/>
      <c r="E20" s="32"/>
      <c r="F20" s="2"/>
      <c r="G20" s="10"/>
      <c r="H20" s="3"/>
      <c r="I20" s="33">
        <f>I21+I23+J25+I27</f>
        <v>63586.09</v>
      </c>
      <c r="J20" s="33"/>
      <c r="K20" s="33">
        <f>L21+L23+K25+L27</f>
        <v>17230</v>
      </c>
      <c r="L20" s="33"/>
      <c r="M20" s="33"/>
      <c r="N20" s="33">
        <f>O21+O23+N25+O27</f>
        <v>2230</v>
      </c>
      <c r="O20" s="33"/>
      <c r="P20" s="33"/>
      <c r="Q20" s="2"/>
      <c r="R20" s="3"/>
      <c r="S20" s="33">
        <f>S21+S23+T25+S27</f>
        <v>50186.09</v>
      </c>
      <c r="T20" s="33"/>
    </row>
    <row r="21" spans="1:20" ht="33" customHeight="1" outlineLevel="1" x14ac:dyDescent="0.2">
      <c r="A21" s="35" t="s">
        <v>37</v>
      </c>
      <c r="B21" s="35"/>
      <c r="C21" s="35"/>
      <c r="D21" s="35"/>
      <c r="E21" s="35"/>
      <c r="F21" s="4"/>
      <c r="G21" s="6"/>
      <c r="H21" s="5"/>
      <c r="I21" s="40">
        <f>I22</f>
        <v>15000</v>
      </c>
      <c r="J21" s="40"/>
      <c r="K21" s="4"/>
      <c r="L21" s="18">
        <v>15000</v>
      </c>
      <c r="M21" s="19"/>
      <c r="N21" s="4"/>
      <c r="O21" s="6"/>
      <c r="P21" s="5"/>
      <c r="Q21" s="4"/>
      <c r="R21" s="5"/>
      <c r="S21" s="40"/>
      <c r="T21" s="40"/>
    </row>
    <row r="22" spans="1:20" ht="10.95" customHeight="1" outlineLevel="2" x14ac:dyDescent="0.2">
      <c r="A22" s="41" t="s">
        <v>33</v>
      </c>
      <c r="B22" s="39"/>
      <c r="C22" s="39"/>
      <c r="D22" s="39"/>
      <c r="E22" s="39"/>
      <c r="F22" s="7"/>
      <c r="G22" s="9"/>
      <c r="H22" s="8"/>
      <c r="I22" s="42">
        <v>15000</v>
      </c>
      <c r="J22" s="42"/>
      <c r="K22" s="7"/>
      <c r="L22" s="21">
        <v>15000</v>
      </c>
      <c r="M22" s="22"/>
      <c r="N22" s="7"/>
      <c r="O22" s="9"/>
      <c r="P22" s="8"/>
      <c r="Q22" s="7"/>
      <c r="R22" s="8"/>
      <c r="S22" s="42"/>
      <c r="T22" s="42"/>
    </row>
    <row r="23" spans="1:20" ht="10.95" customHeight="1" outlineLevel="1" x14ac:dyDescent="0.2">
      <c r="A23" s="35" t="s">
        <v>35</v>
      </c>
      <c r="B23" s="35"/>
      <c r="C23" s="35"/>
      <c r="D23" s="35"/>
      <c r="E23" s="35"/>
      <c r="F23" s="4"/>
      <c r="G23" s="6"/>
      <c r="H23" s="5"/>
      <c r="I23" s="37">
        <f>I24</f>
        <v>21000</v>
      </c>
      <c r="J23" s="37"/>
      <c r="K23" s="4"/>
      <c r="L23" s="6"/>
      <c r="M23" s="5"/>
      <c r="N23" s="37">
        <v>1600</v>
      </c>
      <c r="O23" s="37"/>
      <c r="P23" s="37"/>
      <c r="Q23" s="4"/>
      <c r="R23" s="5"/>
      <c r="S23" s="37">
        <f>S24</f>
        <v>22600</v>
      </c>
      <c r="T23" s="37"/>
    </row>
    <row r="24" spans="1:20" ht="10.95" customHeight="1" outlineLevel="2" x14ac:dyDescent="0.2">
      <c r="A24" s="41" t="s">
        <v>36</v>
      </c>
      <c r="B24" s="39"/>
      <c r="C24" s="39"/>
      <c r="D24" s="39"/>
      <c r="E24" s="39"/>
      <c r="F24" s="7"/>
      <c r="G24" s="9"/>
      <c r="H24" s="8"/>
      <c r="I24" s="34">
        <v>21000</v>
      </c>
      <c r="J24" s="34"/>
      <c r="K24" s="7"/>
      <c r="L24" s="9"/>
      <c r="M24" s="8"/>
      <c r="N24" s="34">
        <v>1600</v>
      </c>
      <c r="O24" s="34"/>
      <c r="P24" s="34"/>
      <c r="Q24" s="7"/>
      <c r="R24" s="8"/>
      <c r="S24" s="43">
        <f>I24+N24-L24</f>
        <v>22600</v>
      </c>
      <c r="T24" s="44"/>
    </row>
    <row r="25" spans="1:20" ht="10.95" customHeight="1" outlineLevel="1" x14ac:dyDescent="0.2">
      <c r="A25" s="35" t="s">
        <v>3</v>
      </c>
      <c r="B25" s="35"/>
      <c r="C25" s="35"/>
      <c r="D25" s="35"/>
      <c r="E25" s="35"/>
      <c r="F25" s="4"/>
      <c r="G25" s="6"/>
      <c r="H25" s="5"/>
      <c r="I25" s="4"/>
      <c r="J25" s="5"/>
      <c r="K25" s="37">
        <v>2230</v>
      </c>
      <c r="L25" s="37"/>
      <c r="M25" s="37"/>
      <c r="N25" s="37">
        <v>2230</v>
      </c>
      <c r="O25" s="37"/>
      <c r="P25" s="37"/>
      <c r="Q25" s="4"/>
      <c r="R25" s="5"/>
      <c r="S25" s="4"/>
      <c r="T25" s="16"/>
    </row>
    <row r="26" spans="1:20" ht="10.95" customHeight="1" outlineLevel="2" x14ac:dyDescent="0.2">
      <c r="A26" s="41" t="s">
        <v>34</v>
      </c>
      <c r="B26" s="39"/>
      <c r="C26" s="39"/>
      <c r="D26" s="39"/>
      <c r="E26" s="39"/>
      <c r="F26" s="7"/>
      <c r="G26" s="9"/>
      <c r="H26" s="8"/>
      <c r="I26" s="7"/>
      <c r="J26" s="8"/>
      <c r="K26" s="34">
        <v>2230</v>
      </c>
      <c r="L26" s="34"/>
      <c r="M26" s="34"/>
      <c r="N26" s="34">
        <v>2230</v>
      </c>
      <c r="O26" s="34"/>
      <c r="P26" s="34"/>
      <c r="Q26" s="7"/>
      <c r="R26" s="8"/>
      <c r="S26" s="7"/>
      <c r="T26" s="8"/>
    </row>
    <row r="27" spans="1:20" ht="10.95" customHeight="1" outlineLevel="1" x14ac:dyDescent="0.2">
      <c r="A27" s="35" t="s">
        <v>38</v>
      </c>
      <c r="B27" s="35"/>
      <c r="C27" s="35"/>
      <c r="D27" s="35"/>
      <c r="E27" s="35"/>
      <c r="F27" s="4"/>
      <c r="G27" s="6"/>
      <c r="H27" s="5"/>
      <c r="I27" s="37">
        <f>I28+I29</f>
        <v>27586.09</v>
      </c>
      <c r="J27" s="37"/>
      <c r="K27" s="4"/>
      <c r="L27" s="6"/>
      <c r="M27" s="5"/>
      <c r="N27" s="4"/>
      <c r="O27" s="6"/>
      <c r="P27" s="5"/>
      <c r="Q27" s="4"/>
      <c r="R27" s="5"/>
      <c r="S27" s="37">
        <f>S28+S29</f>
        <v>27586.09</v>
      </c>
      <c r="T27" s="37"/>
    </row>
    <row r="28" spans="1:20" ht="10.95" customHeight="1" outlineLevel="2" x14ac:dyDescent="0.2">
      <c r="A28" s="39" t="s">
        <v>4</v>
      </c>
      <c r="B28" s="39"/>
      <c r="C28" s="39"/>
      <c r="D28" s="39"/>
      <c r="E28" s="39"/>
      <c r="F28" s="7"/>
      <c r="G28" s="9"/>
      <c r="H28" s="8"/>
      <c r="I28" s="34">
        <v>2836.09</v>
      </c>
      <c r="J28" s="34"/>
      <c r="K28" s="7"/>
      <c r="L28" s="9"/>
      <c r="M28" s="8"/>
      <c r="N28" s="7"/>
      <c r="O28" s="9"/>
      <c r="P28" s="8"/>
      <c r="Q28" s="7"/>
      <c r="R28" s="8"/>
      <c r="S28" s="34">
        <f>I28+O28-M28</f>
        <v>2836.09</v>
      </c>
      <c r="T28" s="34"/>
    </row>
    <row r="29" spans="1:20" ht="10.95" customHeight="1" outlineLevel="2" x14ac:dyDescent="0.2">
      <c r="A29" s="39" t="s">
        <v>5</v>
      </c>
      <c r="B29" s="39"/>
      <c r="C29" s="39"/>
      <c r="D29" s="39"/>
      <c r="E29" s="39"/>
      <c r="F29" s="7"/>
      <c r="G29" s="9"/>
      <c r="H29" s="8"/>
      <c r="I29" s="34">
        <v>24750</v>
      </c>
      <c r="J29" s="34"/>
      <c r="K29" s="7"/>
      <c r="L29" s="9"/>
      <c r="M29" s="8"/>
      <c r="N29" s="7"/>
      <c r="O29" s="9"/>
      <c r="P29" s="8"/>
      <c r="Q29" s="7"/>
      <c r="R29" s="8"/>
      <c r="S29" s="34">
        <f>I29+O29-M29</f>
        <v>24750</v>
      </c>
      <c r="T29" s="34"/>
    </row>
    <row r="30" spans="1:20" ht="20.399999999999999" customHeight="1" x14ac:dyDescent="0.2">
      <c r="A30" s="32" t="s">
        <v>23</v>
      </c>
      <c r="B30" s="32"/>
      <c r="C30" s="32"/>
      <c r="D30" s="32"/>
      <c r="E30" s="32"/>
      <c r="F30" s="2"/>
      <c r="G30" s="10"/>
      <c r="H30" s="3"/>
      <c r="I30" s="33">
        <f>I31+I33</f>
        <v>212.92</v>
      </c>
      <c r="J30" s="33"/>
      <c r="K30" s="33">
        <v>64748.12</v>
      </c>
      <c r="L30" s="33"/>
      <c r="M30" s="33"/>
      <c r="N30" s="33">
        <v>1689072.14</v>
      </c>
      <c r="O30" s="33"/>
      <c r="P30" s="33"/>
      <c r="Q30" s="2"/>
      <c r="R30" s="3"/>
      <c r="S30" s="33">
        <f>S31+S33</f>
        <v>212.92</v>
      </c>
      <c r="T30" s="33"/>
    </row>
    <row r="31" spans="1:20" ht="10.95" customHeight="1" outlineLevel="1" x14ac:dyDescent="0.2">
      <c r="A31" s="35" t="s">
        <v>24</v>
      </c>
      <c r="B31" s="35"/>
      <c r="C31" s="35"/>
      <c r="D31" s="35"/>
      <c r="E31" s="35"/>
      <c r="F31" s="4"/>
      <c r="G31" s="6"/>
      <c r="H31" s="5"/>
      <c r="I31" s="36">
        <f>I32</f>
        <v>202.92</v>
      </c>
      <c r="J31" s="36"/>
      <c r="K31" s="4"/>
      <c r="L31" s="6"/>
      <c r="M31" s="5"/>
      <c r="N31" s="4"/>
      <c r="O31" s="6"/>
      <c r="P31" s="5"/>
      <c r="Q31" s="4"/>
      <c r="R31" s="5"/>
      <c r="S31" s="36">
        <f>S32</f>
        <v>202.92</v>
      </c>
      <c r="T31" s="36"/>
    </row>
    <row r="32" spans="1:20" ht="10.95" customHeight="1" outlineLevel="2" x14ac:dyDescent="0.2">
      <c r="A32" s="39" t="s">
        <v>25</v>
      </c>
      <c r="B32" s="39"/>
      <c r="C32" s="39"/>
      <c r="D32" s="39"/>
      <c r="E32" s="39"/>
      <c r="F32" s="7"/>
      <c r="G32" s="9"/>
      <c r="H32" s="8"/>
      <c r="I32" s="23">
        <v>202.92</v>
      </c>
      <c r="J32" s="23"/>
      <c r="K32" s="7"/>
      <c r="L32" s="9"/>
      <c r="M32" s="8"/>
      <c r="N32" s="7"/>
      <c r="O32" s="9"/>
      <c r="P32" s="8"/>
      <c r="Q32" s="7"/>
      <c r="R32" s="8"/>
      <c r="S32" s="23">
        <f>I32+O32-L32</f>
        <v>202.92</v>
      </c>
      <c r="T32" s="23"/>
    </row>
    <row r="33" spans="1:20" ht="10.95" customHeight="1" outlineLevel="1" x14ac:dyDescent="0.2">
      <c r="A33" s="35" t="s">
        <v>26</v>
      </c>
      <c r="B33" s="35"/>
      <c r="C33" s="35"/>
      <c r="D33" s="35"/>
      <c r="E33" s="35"/>
      <c r="F33" s="4"/>
      <c r="G33" s="6"/>
      <c r="H33" s="5"/>
      <c r="I33" s="36">
        <f>I34</f>
        <v>10</v>
      </c>
      <c r="J33" s="36"/>
      <c r="K33" s="4"/>
      <c r="L33" s="6"/>
      <c r="M33" s="5"/>
      <c r="N33" s="4"/>
      <c r="O33" s="6"/>
      <c r="P33" s="5"/>
      <c r="Q33" s="4"/>
      <c r="R33" s="5"/>
      <c r="S33" s="36">
        <f>S34</f>
        <v>10</v>
      </c>
      <c r="T33" s="36"/>
    </row>
    <row r="34" spans="1:20" ht="10.95" customHeight="1" outlineLevel="2" x14ac:dyDescent="0.2">
      <c r="A34" s="39" t="s">
        <v>27</v>
      </c>
      <c r="B34" s="39"/>
      <c r="C34" s="39"/>
      <c r="D34" s="39"/>
      <c r="E34" s="39"/>
      <c r="F34" s="7"/>
      <c r="G34" s="9"/>
      <c r="H34" s="8"/>
      <c r="I34" s="23">
        <v>10</v>
      </c>
      <c r="J34" s="23"/>
      <c r="K34" s="7"/>
      <c r="L34" s="9"/>
      <c r="M34" s="8"/>
      <c r="N34" s="7"/>
      <c r="O34" s="9"/>
      <c r="P34" s="8"/>
      <c r="Q34" s="7"/>
      <c r="R34" s="8"/>
      <c r="S34" s="23">
        <f>I34+O34-M34</f>
        <v>10</v>
      </c>
      <c r="T34" s="23"/>
    </row>
    <row r="35" spans="1:20" ht="13.05" customHeight="1" x14ac:dyDescent="0.2">
      <c r="A35" s="45" t="s">
        <v>6</v>
      </c>
      <c r="B35" s="45"/>
      <c r="C35" s="45"/>
      <c r="D35" s="45"/>
      <c r="E35" s="45"/>
      <c r="F35" s="11"/>
      <c r="G35" s="12"/>
      <c r="H35" s="13"/>
      <c r="I35" s="46">
        <f>I20+I30-F7-F15</f>
        <v>16899.009999999995</v>
      </c>
      <c r="J35" s="46"/>
      <c r="K35" s="46">
        <f>K7+K15+K20+K30</f>
        <v>82978.12</v>
      </c>
      <c r="L35" s="46"/>
      <c r="M35" s="46"/>
      <c r="N35" s="46">
        <f>N7+N15+N20+N30</f>
        <v>1730702.14</v>
      </c>
      <c r="O35" s="46"/>
      <c r="P35" s="46"/>
      <c r="Q35" s="11"/>
      <c r="R35" s="13"/>
      <c r="S35" s="46">
        <f>S20+S30-Q7-Q15</f>
        <v>41899.009999999995</v>
      </c>
      <c r="T35" s="46"/>
    </row>
  </sheetData>
  <mergeCells count="120">
    <mergeCell ref="A33:E33"/>
    <mergeCell ref="I33:J33"/>
    <mergeCell ref="S33:T33"/>
    <mergeCell ref="A34:E34"/>
    <mergeCell ref="I34:J34"/>
    <mergeCell ref="S34:T34"/>
    <mergeCell ref="A35:E35"/>
    <mergeCell ref="I35:J35"/>
    <mergeCell ref="K35:M35"/>
    <mergeCell ref="N35:P35"/>
    <mergeCell ref="S35:T35"/>
    <mergeCell ref="A29:E29"/>
    <mergeCell ref="I29:J29"/>
    <mergeCell ref="S29:T29"/>
    <mergeCell ref="A31:E31"/>
    <mergeCell ref="I31:J31"/>
    <mergeCell ref="S31:T31"/>
    <mergeCell ref="A32:E32"/>
    <mergeCell ref="I32:J32"/>
    <mergeCell ref="S32:T32"/>
    <mergeCell ref="A30:E30"/>
    <mergeCell ref="I30:J30"/>
    <mergeCell ref="K30:M30"/>
    <mergeCell ref="N30:P30"/>
    <mergeCell ref="S30:T30"/>
    <mergeCell ref="A24:E24"/>
    <mergeCell ref="I24:J24"/>
    <mergeCell ref="N24:P24"/>
    <mergeCell ref="S24:T24"/>
    <mergeCell ref="A25:E25"/>
    <mergeCell ref="K25:M25"/>
    <mergeCell ref="N25:P25"/>
    <mergeCell ref="A28:E28"/>
    <mergeCell ref="I28:J28"/>
    <mergeCell ref="S28:T28"/>
    <mergeCell ref="A19:E19"/>
    <mergeCell ref="F19:H19"/>
    <mergeCell ref="Q19:R19"/>
    <mergeCell ref="A26:E26"/>
    <mergeCell ref="K26:M26"/>
    <mergeCell ref="N26:P26"/>
    <mergeCell ref="A27:E27"/>
    <mergeCell ref="I27:J27"/>
    <mergeCell ref="S27:T27"/>
    <mergeCell ref="A20:E20"/>
    <mergeCell ref="I20:J20"/>
    <mergeCell ref="K20:M20"/>
    <mergeCell ref="N20:P20"/>
    <mergeCell ref="S20:T20"/>
    <mergeCell ref="A21:E21"/>
    <mergeCell ref="I21:J21"/>
    <mergeCell ref="S21:T21"/>
    <mergeCell ref="A22:E22"/>
    <mergeCell ref="I22:J22"/>
    <mergeCell ref="S22:T22"/>
    <mergeCell ref="A23:E23"/>
    <mergeCell ref="I23:J23"/>
    <mergeCell ref="N23:P23"/>
    <mergeCell ref="S23:T23"/>
    <mergeCell ref="A18:E18"/>
    <mergeCell ref="F18:H18"/>
    <mergeCell ref="Q18:R18"/>
    <mergeCell ref="A15:E15"/>
    <mergeCell ref="F15:H15"/>
    <mergeCell ref="K15:M15"/>
    <mergeCell ref="N15:P15"/>
    <mergeCell ref="Q15:R15"/>
    <mergeCell ref="A16:E16"/>
    <mergeCell ref="F16:H16"/>
    <mergeCell ref="Q16:R16"/>
    <mergeCell ref="A17:E17"/>
    <mergeCell ref="F17:H17"/>
    <mergeCell ref="Q17:R17"/>
    <mergeCell ref="A12:E12"/>
    <mergeCell ref="F12:H12"/>
    <mergeCell ref="N12:P12"/>
    <mergeCell ref="Q12:R12"/>
    <mergeCell ref="A13:E13"/>
    <mergeCell ref="F13:H13"/>
    <mergeCell ref="A14:E14"/>
    <mergeCell ref="F14:H14"/>
    <mergeCell ref="Q14:R14"/>
    <mergeCell ref="Q7:R7"/>
    <mergeCell ref="N11:P11"/>
    <mergeCell ref="A8:E8"/>
    <mergeCell ref="F8:H8"/>
    <mergeCell ref="Q8:R8"/>
    <mergeCell ref="A9:E9"/>
    <mergeCell ref="F9:H9"/>
    <mergeCell ref="Q9:R9"/>
    <mergeCell ref="A10:E10"/>
    <mergeCell ref="F10:H10"/>
    <mergeCell ref="Q10:R10"/>
    <mergeCell ref="A11:E11"/>
    <mergeCell ref="F11:H11"/>
    <mergeCell ref="Q11:R11"/>
    <mergeCell ref="K12:M12"/>
    <mergeCell ref="N14:P14"/>
    <mergeCell ref="K14:M14"/>
    <mergeCell ref="L21:M21"/>
    <mergeCell ref="L22:M22"/>
    <mergeCell ref="Q13:R13"/>
    <mergeCell ref="A1:S1"/>
    <mergeCell ref="A2:S2"/>
    <mergeCell ref="A4:E4"/>
    <mergeCell ref="F4:J4"/>
    <mergeCell ref="K4:P4"/>
    <mergeCell ref="Q4:T4"/>
    <mergeCell ref="A5:E5"/>
    <mergeCell ref="F5:H6"/>
    <mergeCell ref="I5:J6"/>
    <mergeCell ref="K5:M6"/>
    <mergeCell ref="N5:P6"/>
    <mergeCell ref="Q5:R6"/>
    <mergeCell ref="S5:T6"/>
    <mergeCell ref="A6:E6"/>
    <mergeCell ref="A7:E7"/>
    <mergeCell ref="F7:H7"/>
    <mergeCell ref="K7:M7"/>
    <mergeCell ref="N7:P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Носиров Толиб Саидахмадович</cp:lastModifiedBy>
  <dcterms:modified xsi:type="dcterms:W3CDTF">2026-01-09T14:42:51Z</dcterms:modified>
</cp:coreProperties>
</file>