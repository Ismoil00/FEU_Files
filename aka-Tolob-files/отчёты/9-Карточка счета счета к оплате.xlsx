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Новая папка\ФЭУ Флеш\1-050126\документы\Отчёты\"/>
    </mc:Choice>
  </mc:AlternateContent>
  <bookViews>
    <workbookView xWindow="0" yWindow="0" windowWidth="11400" windowHeight="5892" tabRatio="0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F21" i="1" l="1"/>
  <c r="M21" i="1" s="1"/>
  <c r="I21" i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9" i="1"/>
  <c r="F18" i="1"/>
  <c r="F19" i="1" s="1"/>
  <c r="F20" i="1" s="1"/>
</calcChain>
</file>

<file path=xl/sharedStrings.xml><?xml version="1.0" encoding="utf-8"?>
<sst xmlns="http://schemas.openxmlformats.org/spreadsheetml/2006/main" count="85" uniqueCount="45">
  <si>
    <t>Период</t>
  </si>
  <si>
    <t>Документ</t>
  </si>
  <si>
    <t>Аналитика Дт</t>
  </si>
  <si>
    <t>Аналитика Кт</t>
  </si>
  <si>
    <t>Дебет</t>
  </si>
  <si>
    <t>Кредит</t>
  </si>
  <si>
    <t>Текущее сальдо</t>
  </si>
  <si>
    <t>Счет</t>
  </si>
  <si>
    <t>Сальдо на начало</t>
  </si>
  <si>
    <t>К</t>
  </si>
  <si>
    <t>Основная касса
Оплата товаров, работ, услуг, сырья и иных оборотных активов</t>
  </si>
  <si>
    <t>Бензин G -95
Транспорт</t>
  </si>
  <si>
    <t>Бензин  АИ- 92
Транспорт</t>
  </si>
  <si>
    <t>Бензин АИ-95
Транспорт</t>
  </si>
  <si>
    <t>Гази моеъ
Транспорт</t>
  </si>
  <si>
    <t>Обороты за период и сальдо на конец</t>
  </si>
  <si>
    <t>Карточкаи счети 2 11 110 за Январь 2025 с.</t>
  </si>
  <si>
    <t>ФЭУ</t>
  </si>
  <si>
    <t>Номгуи счёт: Ҳисобҳо барои пардохт</t>
  </si>
  <si>
    <t>Поступление ТМЗ и услуг 00000000001 от 02.01.2025 8:07:31
Зачет аванса поставщику</t>
  </si>
  <si>
    <t>Поступление ТМЗ и услуг 00000000001 от 02.01.2025 8:07:31
Прочие поступления</t>
  </si>
  <si>
    <t>Платежное поручение исходящее 00000000004 от 07.01.2025 10:13:09
Оплата</t>
  </si>
  <si>
    <t>Платежное поручение исходящее 00000000007 от 08.01.2025 12:32:10
Оплата</t>
  </si>
  <si>
    <t>Платежное поручение исходящее 00000000011 от 14.01.2025 10:19:44
Оплата</t>
  </si>
  <si>
    <t>Расходный кассовый ордер 00000000042 от 25.01.2025 14:33:27
Оплата</t>
  </si>
  <si>
    <t>Расходный кассовый ордер 00000000043 от 28.01.2025 14:36:42
Оплата</t>
  </si>
  <si>
    <t>Поступление ТМЗ и услуг 00000000003 от 31.01.2025 8:13:48
Зачет аванса поставщику</t>
  </si>
  <si>
    <t>Поступление ТМЗ и услуг 00000000003 от 31.01.2025 8:13:48
Оприходованы ТМЗ</t>
  </si>
  <si>
    <t>1 15 100</t>
  </si>
  <si>
    <t>1 15 200</t>
  </si>
  <si>
    <t>Расход по услуг связи</t>
  </si>
  <si>
    <t>5 12 771</t>
  </si>
  <si>
    <t>1 11 254</t>
  </si>
  <si>
    <t>1 11 110</t>
  </si>
  <si>
    <t>«1 31 216»</t>
  </si>
  <si>
    <t>ЗАО " Индиго Таджикистан"
№1234 от 01.01.2025</t>
  </si>
  <si>
    <t>ЧДММ "1234"
№17 от 01.10.2025</t>
  </si>
  <si>
    <t>КВД"4321"
С поставщиком</t>
  </si>
  <si>
    <t>КВД"123456"
С поставщиком</t>
  </si>
  <si>
    <t>ҶДММ "2222"
С поставщиком</t>
  </si>
  <si>
    <t>ҶДММ " 2222"
С поставщиком</t>
  </si>
  <si>
    <t>ООО " Газпром нефть - Таджикистан"
№1234 от 10.10.2024</t>
  </si>
  <si>
    <t>КВД "Амонатбонк " TJS
Оплата товаров, работ, услуг, сырья и иных оборотных активов</t>
  </si>
  <si>
    <t>КВД "Амонатбонк "  TJS
Оплата товаров, работ, услуг, сырья и иных оборотных активов</t>
  </si>
  <si>
    <t>2 11 110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</si>
</sst>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15">
    <border>
      <left/>
      <right/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/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/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5" fillId="3" borderId="13" xfId="0" applyFont="1" applyFill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/>
    </xf>
    <xf numFmtId="14" fontId="0" fillId="0" borderId="12" xfId="0" applyNumberFormat="1" applyBorder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right" vertical="top"/>
    </xf>
    <xf numFmtId="4" fontId="5" fillId="3" borderId="14" xfId="0" applyNumberFormat="1" applyFont="1" applyFill="1" applyBorder="1" applyAlignment="1">
      <alignment horizontal="right" vertical="top" wrapText="1"/>
    </xf>
    <xf numFmtId="0" fontId="0" fillId="0" borderId="12" xfId="0" applyBorder="1" applyAlignment="1">
      <alignment horizontal="left" vertical="top" wrapText="1"/>
    </xf>
    <xf numFmtId="2" fontId="0" fillId="0" borderId="12" xfId="0" applyNumberFormat="1" applyBorder="1" applyAlignment="1">
      <alignment horizontal="right" vertical="top" wrapText="1"/>
    </xf>
    <xf numFmtId="0" fontId="0" fillId="0" borderId="14" xfId="0" applyBorder="1" applyAlignment="1">
      <alignment horizontal="right" vertical="top" wrapText="1"/>
    </xf>
    <xf numFmtId="4" fontId="0" fillId="0" borderId="14" xfId="0" applyNumberFormat="1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4" fontId="0" fillId="0" borderId="12" xfId="0" applyNumberFormat="1" applyBorder="1" applyAlignment="1">
      <alignment horizontal="right" vertical="top" wrapText="1"/>
    </xf>
    <xf numFmtId="0" fontId="4" fillId="3" borderId="12" xfId="0" applyFont="1" applyFill="1" applyBorder="1" applyAlignment="1">
      <alignment horizontal="left" vertical="top"/>
    </xf>
    <xf numFmtId="4" fontId="4" fillId="3" borderId="12" xfId="0" applyNumberFormat="1" applyFont="1" applyFill="1" applyBorder="1" applyAlignment="1">
      <alignment horizontal="right" vertical="top" wrapText="1"/>
    </xf>
    <xf numFmtId="4" fontId="4" fillId="3" borderId="14" xfId="0" applyNumberFormat="1" applyFont="1" applyFill="1" applyBorder="1" applyAlignment="1">
      <alignment horizontal="right" vertical="top" wrapText="1"/>
    </xf>
    <xf numFmtId="2" fontId="0" fillId="0" borderId="14" xfId="0" applyNumberForma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1"/>
  <sheetViews>
    <sheetView tabSelected="1" workbookViewId="0">
      <selection activeCell="R11" sqref="R11"/>
    </sheetView>
  </sheetViews>
  <sheetFormatPr defaultColWidth="10.42578125" defaultRowHeight="11.4" customHeight="1" outlineLevelRow="1" x14ac:dyDescent="0.2"/>
  <cols>
    <col min="1" max="1" width="10" style="1" customWidth="1"/>
    <col min="2" max="2" width="8.85546875" style="1" customWidth="1"/>
    <col min="3" max="3" width="11.140625" style="1" customWidth="1"/>
    <col min="4" max="5" width="19.85546875" style="1" customWidth="1"/>
    <col min="6" max="6" width="14.85546875" style="1" customWidth="1"/>
    <col min="7" max="7" width="4.7109375" style="1" customWidth="1"/>
    <col min="8" max="8" width="14" style="1" customWidth="1"/>
    <col min="9" max="9" width="17.28515625" style="1" bestFit="1" customWidth="1"/>
    <col min="10" max="10" width="4.7109375" style="1" customWidth="1"/>
    <col min="11" max="11" width="14" style="1" customWidth="1"/>
    <col min="12" max="12" width="3.42578125" style="1" customWidth="1"/>
    <col min="13" max="13" width="3.28515625" style="1" customWidth="1"/>
    <col min="14" max="14" width="13" style="1" customWidth="1"/>
  </cols>
  <sheetData>
    <row r="1" spans="1:14" ht="13.05" customHeight="1" x14ac:dyDescent="0.25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/>
      <c r="B4" s="14"/>
      <c r="C4" s="14" t="s">
        <v>18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3.05" customHeight="1" x14ac:dyDescent="0.2">
      <c r="A6" s="15" t="s">
        <v>0</v>
      </c>
      <c r="B6" s="17" t="s">
        <v>1</v>
      </c>
      <c r="C6" s="17"/>
      <c r="D6" s="17" t="s">
        <v>2</v>
      </c>
      <c r="E6" s="20" t="s">
        <v>3</v>
      </c>
      <c r="F6" s="22" t="s">
        <v>4</v>
      </c>
      <c r="G6" s="22"/>
      <c r="H6" s="22"/>
      <c r="I6" s="23" t="s">
        <v>5</v>
      </c>
      <c r="J6" s="23"/>
      <c r="K6" s="23"/>
      <c r="L6" s="17" t="s">
        <v>6</v>
      </c>
      <c r="M6" s="17"/>
      <c r="N6" s="17"/>
    </row>
    <row r="7" spans="1:14" ht="13.05" customHeight="1" x14ac:dyDescent="0.2">
      <c r="A7" s="16"/>
      <c r="B7" s="16"/>
      <c r="C7" s="18"/>
      <c r="D7" s="19"/>
      <c r="E7" s="21"/>
      <c r="F7" s="2" t="s">
        <v>7</v>
      </c>
      <c r="G7" s="24"/>
      <c r="H7" s="24"/>
      <c r="I7" s="3" t="s">
        <v>7</v>
      </c>
      <c r="J7" s="25"/>
      <c r="K7" s="25"/>
      <c r="L7" s="16"/>
      <c r="M7" s="21"/>
      <c r="N7" s="18"/>
    </row>
    <row r="8" spans="1:14" ht="10.95" customHeight="1" x14ac:dyDescent="0.2">
      <c r="A8" s="26" t="s">
        <v>8</v>
      </c>
      <c r="B8" s="26"/>
      <c r="C8" s="26"/>
      <c r="D8" s="26"/>
      <c r="E8" s="26"/>
      <c r="F8" s="27"/>
      <c r="G8" s="27"/>
      <c r="H8" s="27"/>
      <c r="I8" s="27"/>
      <c r="J8" s="27"/>
      <c r="K8" s="27"/>
      <c r="L8" s="4" t="s">
        <v>9</v>
      </c>
      <c r="M8" s="28">
        <v>19079667.75</v>
      </c>
      <c r="N8" s="28"/>
    </row>
    <row r="9" spans="1:14" ht="55.95" customHeight="1" outlineLevel="1" x14ac:dyDescent="0.2">
      <c r="A9" s="9">
        <v>45659</v>
      </c>
      <c r="B9" s="29" t="s">
        <v>19</v>
      </c>
      <c r="C9" s="29"/>
      <c r="D9" s="10" t="s">
        <v>35</v>
      </c>
      <c r="E9" s="10" t="s">
        <v>35</v>
      </c>
      <c r="F9" s="11" t="s">
        <v>44</v>
      </c>
      <c r="G9" s="30">
        <v>334.99</v>
      </c>
      <c r="H9" s="30"/>
      <c r="I9" s="11" t="s">
        <v>29</v>
      </c>
      <c r="J9" s="31"/>
      <c r="K9" s="31"/>
      <c r="L9" s="7" t="s">
        <v>9</v>
      </c>
      <c r="M9" s="32">
        <f>M8+J9-G9</f>
        <v>19079332.760000002</v>
      </c>
      <c r="N9" s="32"/>
    </row>
    <row r="10" spans="1:14" ht="43.95" customHeight="1" outlineLevel="1" x14ac:dyDescent="0.2">
      <c r="A10" s="9">
        <v>45659</v>
      </c>
      <c r="B10" s="29" t="s">
        <v>20</v>
      </c>
      <c r="C10" s="29"/>
      <c r="D10" s="10" t="s">
        <v>30</v>
      </c>
      <c r="E10" s="10" t="s">
        <v>35</v>
      </c>
      <c r="F10" s="11" t="s">
        <v>31</v>
      </c>
      <c r="G10" s="33"/>
      <c r="H10" s="33"/>
      <c r="I10" s="11" t="s">
        <v>44</v>
      </c>
      <c r="J10" s="32">
        <v>1889.83</v>
      </c>
      <c r="K10" s="32"/>
      <c r="L10" s="7" t="s">
        <v>9</v>
      </c>
      <c r="M10" s="32">
        <f>M9+J10-G10</f>
        <v>19081222.59</v>
      </c>
      <c r="N10" s="32"/>
    </row>
    <row r="11" spans="1:14" ht="78" customHeight="1" outlineLevel="1" x14ac:dyDescent="0.2">
      <c r="A11" s="9">
        <v>45664</v>
      </c>
      <c r="B11" s="29" t="s">
        <v>21</v>
      </c>
      <c r="C11" s="29"/>
      <c r="D11" s="10" t="s">
        <v>36</v>
      </c>
      <c r="E11" s="10" t="s">
        <v>42</v>
      </c>
      <c r="F11" s="5" t="s">
        <v>44</v>
      </c>
      <c r="G11" s="34">
        <v>10089.82</v>
      </c>
      <c r="H11" s="34"/>
      <c r="I11" s="11" t="s">
        <v>32</v>
      </c>
      <c r="J11" s="31"/>
      <c r="K11" s="31"/>
      <c r="L11" s="7" t="s">
        <v>9</v>
      </c>
      <c r="M11" s="32">
        <f>M10+J11-G11</f>
        <v>19071132.77</v>
      </c>
      <c r="N11" s="32"/>
    </row>
    <row r="12" spans="1:14" ht="78" customHeight="1" outlineLevel="1" x14ac:dyDescent="0.2">
      <c r="A12" s="9">
        <v>45665</v>
      </c>
      <c r="B12" s="29" t="s">
        <v>22</v>
      </c>
      <c r="C12" s="29"/>
      <c r="D12" s="10" t="s">
        <v>37</v>
      </c>
      <c r="E12" s="10" t="s">
        <v>42</v>
      </c>
      <c r="F12" s="5" t="s">
        <v>44</v>
      </c>
      <c r="G12" s="34">
        <v>30000</v>
      </c>
      <c r="H12" s="34"/>
      <c r="I12" s="11" t="s">
        <v>32</v>
      </c>
      <c r="J12" s="31"/>
      <c r="K12" s="31"/>
      <c r="L12" s="7" t="s">
        <v>9</v>
      </c>
      <c r="M12" s="32">
        <f t="shared" ref="M12:M20" si="0">M11+J12-G12</f>
        <v>19041132.77</v>
      </c>
      <c r="N12" s="32"/>
    </row>
    <row r="13" spans="1:14" ht="67.05" customHeight="1" outlineLevel="1" x14ac:dyDescent="0.2">
      <c r="A13" s="9">
        <v>45671</v>
      </c>
      <c r="B13" s="29" t="s">
        <v>23</v>
      </c>
      <c r="C13" s="29"/>
      <c r="D13" s="10" t="s">
        <v>38</v>
      </c>
      <c r="E13" s="10" t="s">
        <v>43</v>
      </c>
      <c r="F13" s="11" t="s">
        <v>44</v>
      </c>
      <c r="G13" s="34">
        <v>30000</v>
      </c>
      <c r="H13" s="34"/>
      <c r="I13" s="11" t="s">
        <v>32</v>
      </c>
      <c r="J13" s="31"/>
      <c r="K13" s="31"/>
      <c r="L13" s="7" t="s">
        <v>9</v>
      </c>
      <c r="M13" s="32">
        <f t="shared" si="0"/>
        <v>19011132.77</v>
      </c>
      <c r="N13" s="32"/>
    </row>
    <row r="14" spans="1:14" ht="55.95" customHeight="1" outlineLevel="1" x14ac:dyDescent="0.2">
      <c r="A14" s="9">
        <v>45682</v>
      </c>
      <c r="B14" s="29" t="s">
        <v>24</v>
      </c>
      <c r="C14" s="29"/>
      <c r="D14" s="10" t="s">
        <v>39</v>
      </c>
      <c r="E14" s="6" t="s">
        <v>10</v>
      </c>
      <c r="F14" s="5" t="s">
        <v>44</v>
      </c>
      <c r="G14" s="34">
        <v>61309.46</v>
      </c>
      <c r="H14" s="34"/>
      <c r="I14" s="11" t="s">
        <v>33</v>
      </c>
      <c r="J14" s="31"/>
      <c r="K14" s="31"/>
      <c r="L14" s="7" t="s">
        <v>9</v>
      </c>
      <c r="M14" s="32">
        <f t="shared" si="0"/>
        <v>18949823.309999999</v>
      </c>
      <c r="N14" s="32"/>
    </row>
    <row r="15" spans="1:14" ht="55.95" customHeight="1" outlineLevel="1" x14ac:dyDescent="0.2">
      <c r="A15" s="9">
        <v>45685</v>
      </c>
      <c r="B15" s="29" t="s">
        <v>25</v>
      </c>
      <c r="C15" s="29"/>
      <c r="D15" s="10" t="s">
        <v>40</v>
      </c>
      <c r="E15" s="6" t="s">
        <v>10</v>
      </c>
      <c r="F15" s="5" t="s">
        <v>44</v>
      </c>
      <c r="G15" s="34">
        <v>110970.54</v>
      </c>
      <c r="H15" s="34"/>
      <c r="I15" s="11" t="s">
        <v>33</v>
      </c>
      <c r="J15" s="31"/>
      <c r="K15" s="31"/>
      <c r="L15" s="7" t="s">
        <v>9</v>
      </c>
      <c r="M15" s="32">
        <f t="shared" si="0"/>
        <v>18838852.77</v>
      </c>
      <c r="N15" s="32"/>
    </row>
    <row r="16" spans="1:14" ht="55.95" customHeight="1" outlineLevel="1" x14ac:dyDescent="0.2">
      <c r="A16" s="9">
        <v>45688</v>
      </c>
      <c r="B16" s="29" t="s">
        <v>26</v>
      </c>
      <c r="C16" s="29"/>
      <c r="D16" s="10" t="s">
        <v>41</v>
      </c>
      <c r="E16" s="10" t="s">
        <v>41</v>
      </c>
      <c r="F16" s="5" t="s">
        <v>44</v>
      </c>
      <c r="G16" s="34">
        <v>77761.13</v>
      </c>
      <c r="H16" s="34"/>
      <c r="I16" s="11" t="s">
        <v>28</v>
      </c>
      <c r="J16" s="31"/>
      <c r="K16" s="31"/>
      <c r="L16" s="7" t="s">
        <v>9</v>
      </c>
      <c r="M16" s="32">
        <f t="shared" si="0"/>
        <v>18761091.640000001</v>
      </c>
      <c r="N16" s="32"/>
    </row>
    <row r="17" spans="1:14" ht="43.95" customHeight="1" outlineLevel="1" x14ac:dyDescent="0.2">
      <c r="A17" s="9">
        <v>45688</v>
      </c>
      <c r="B17" s="29" t="s">
        <v>27</v>
      </c>
      <c r="C17" s="29"/>
      <c r="D17" s="6" t="s">
        <v>11</v>
      </c>
      <c r="E17" s="10" t="s">
        <v>41</v>
      </c>
      <c r="F17" s="11" t="s">
        <v>34</v>
      </c>
      <c r="G17" s="33"/>
      <c r="H17" s="33"/>
      <c r="I17" s="5" t="s">
        <v>44</v>
      </c>
      <c r="J17" s="32">
        <v>1054.3399999999999</v>
      </c>
      <c r="K17" s="32"/>
      <c r="L17" s="7" t="s">
        <v>9</v>
      </c>
      <c r="M17" s="32">
        <f t="shared" si="0"/>
        <v>18762145.98</v>
      </c>
      <c r="N17" s="32"/>
    </row>
    <row r="18" spans="1:14" ht="43.95" customHeight="1" outlineLevel="1" x14ac:dyDescent="0.2">
      <c r="A18" s="9">
        <v>45688</v>
      </c>
      <c r="B18" s="29" t="s">
        <v>27</v>
      </c>
      <c r="C18" s="29"/>
      <c r="D18" s="6" t="s">
        <v>12</v>
      </c>
      <c r="E18" s="10" t="s">
        <v>41</v>
      </c>
      <c r="F18" s="5" t="str">
        <f>F17</f>
        <v>«1 31 216»</v>
      </c>
      <c r="G18" s="33"/>
      <c r="H18" s="33"/>
      <c r="I18" s="5" t="s">
        <v>44</v>
      </c>
      <c r="J18" s="32">
        <v>10814.08</v>
      </c>
      <c r="K18" s="32"/>
      <c r="L18" s="7" t="s">
        <v>9</v>
      </c>
      <c r="M18" s="32">
        <f t="shared" si="0"/>
        <v>18772960.059999999</v>
      </c>
      <c r="N18" s="32"/>
    </row>
    <row r="19" spans="1:14" ht="43.95" customHeight="1" outlineLevel="1" x14ac:dyDescent="0.2">
      <c r="A19" s="9">
        <v>45688</v>
      </c>
      <c r="B19" s="29" t="s">
        <v>27</v>
      </c>
      <c r="C19" s="29"/>
      <c r="D19" s="6" t="s">
        <v>13</v>
      </c>
      <c r="E19" s="10" t="s">
        <v>41</v>
      </c>
      <c r="F19" s="5" t="str">
        <f t="shared" ref="F19:F20" si="1">F18</f>
        <v>«1 31 216»</v>
      </c>
      <c r="G19" s="33"/>
      <c r="H19" s="33"/>
      <c r="I19" s="5" t="s">
        <v>44</v>
      </c>
      <c r="J19" s="32">
        <v>1883.25</v>
      </c>
      <c r="K19" s="32"/>
      <c r="L19" s="7" t="s">
        <v>9</v>
      </c>
      <c r="M19" s="32">
        <f t="shared" si="0"/>
        <v>18774843.309999999</v>
      </c>
      <c r="N19" s="32"/>
    </row>
    <row r="20" spans="1:14" ht="43.95" customHeight="1" outlineLevel="1" x14ac:dyDescent="0.2">
      <c r="A20" s="9">
        <v>45688</v>
      </c>
      <c r="B20" s="29" t="s">
        <v>27</v>
      </c>
      <c r="C20" s="29"/>
      <c r="D20" s="6" t="s">
        <v>14</v>
      </c>
      <c r="E20" s="10" t="s">
        <v>41</v>
      </c>
      <c r="F20" s="5" t="str">
        <f t="shared" si="1"/>
        <v>«1 31 216»</v>
      </c>
      <c r="G20" s="33"/>
      <c r="H20" s="33"/>
      <c r="I20" s="5" t="s">
        <v>44</v>
      </c>
      <c r="J20" s="38">
        <v>961.15</v>
      </c>
      <c r="K20" s="38"/>
      <c r="L20" s="7" t="s">
        <v>9</v>
      </c>
      <c r="M20" s="32">
        <f t="shared" si="0"/>
        <v>18775804.459999997</v>
      </c>
      <c r="N20" s="32"/>
    </row>
    <row r="21" spans="1:14" ht="13.05" customHeight="1" x14ac:dyDescent="0.2">
      <c r="A21" s="35" t="s">
        <v>15</v>
      </c>
      <c r="B21" s="35"/>
      <c r="C21" s="35"/>
      <c r="D21" s="35"/>
      <c r="E21" s="35"/>
      <c r="F21" s="36">
        <f>SUM(G9:H20)</f>
        <v>320465.94</v>
      </c>
      <c r="G21" s="36"/>
      <c r="H21" s="36"/>
      <c r="I21" s="36">
        <f>SUM(J9:K20)</f>
        <v>16602.650000000001</v>
      </c>
      <c r="J21" s="36"/>
      <c r="K21" s="36"/>
      <c r="L21" s="8" t="s">
        <v>9</v>
      </c>
      <c r="M21" s="37">
        <f>M8+I21-F21</f>
        <v>18775804.459999997</v>
      </c>
      <c r="N21" s="37"/>
    </row>
  </sheetData>
  <mergeCells count="68">
    <mergeCell ref="A21:E21"/>
    <mergeCell ref="F21:H21"/>
    <mergeCell ref="I21:K21"/>
    <mergeCell ref="M21:N21"/>
    <mergeCell ref="B20:C20"/>
    <mergeCell ref="G20:H20"/>
    <mergeCell ref="J20:K20"/>
    <mergeCell ref="M20:N20"/>
    <mergeCell ref="B19:C19"/>
    <mergeCell ref="G19:H19"/>
    <mergeCell ref="J19:K19"/>
    <mergeCell ref="M19:N19"/>
    <mergeCell ref="M18:N18"/>
    <mergeCell ref="B16:C16"/>
    <mergeCell ref="G16:H16"/>
    <mergeCell ref="J16:K16"/>
    <mergeCell ref="B17:C17"/>
    <mergeCell ref="G17:H17"/>
    <mergeCell ref="J17:K17"/>
    <mergeCell ref="B18:C18"/>
    <mergeCell ref="G18:H18"/>
    <mergeCell ref="J18:K18"/>
    <mergeCell ref="M16:N16"/>
    <mergeCell ref="M15:N15"/>
    <mergeCell ref="M17:N17"/>
    <mergeCell ref="B14:C14"/>
    <mergeCell ref="G14:H14"/>
    <mergeCell ref="J14:K14"/>
    <mergeCell ref="M14:N14"/>
    <mergeCell ref="B15:C15"/>
    <mergeCell ref="G15:H15"/>
    <mergeCell ref="J15:K15"/>
    <mergeCell ref="B12:C12"/>
    <mergeCell ref="G12:H12"/>
    <mergeCell ref="J12:K12"/>
    <mergeCell ref="M12:N12"/>
    <mergeCell ref="M13:N13"/>
    <mergeCell ref="B13:C13"/>
    <mergeCell ref="G13:H13"/>
    <mergeCell ref="J13:K13"/>
    <mergeCell ref="B10:C10"/>
    <mergeCell ref="G10:H10"/>
    <mergeCell ref="J10:K10"/>
    <mergeCell ref="M10:N10"/>
    <mergeCell ref="M11:N11"/>
    <mergeCell ref="B11:C11"/>
    <mergeCell ref="G11:H11"/>
    <mergeCell ref="J11:K11"/>
    <mergeCell ref="A8:E8"/>
    <mergeCell ref="F8:K8"/>
    <mergeCell ref="M8:N8"/>
    <mergeCell ref="B9:C9"/>
    <mergeCell ref="G9:H9"/>
    <mergeCell ref="J9:K9"/>
    <mergeCell ref="M9:N9"/>
    <mergeCell ref="A1:M1"/>
    <mergeCell ref="A2:M2"/>
    <mergeCell ref="A4:B4"/>
    <mergeCell ref="C4:M4"/>
    <mergeCell ref="A6:A7"/>
    <mergeCell ref="B6:C7"/>
    <mergeCell ref="D6:D7"/>
    <mergeCell ref="E6:E7"/>
    <mergeCell ref="F6:H6"/>
    <mergeCell ref="I6:K6"/>
    <mergeCell ref="L6:N7"/>
    <mergeCell ref="G7:H7"/>
    <mergeCell ref="J7:K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2026-01-05T18:49:28Z</dcterms:modified>
</cp:coreProperties>
</file>