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895" tabRatio="0"/>
  </bookViews>
  <sheets>
    <sheet name="TDSheet" sheetId="1" r:id="rId1"/>
  </sheets>
  <calcPr calcId="145621"/>
</workbook>
</file>

<file path=xl/calcChain.xml><?xml version="1.0" encoding="utf-8"?>
<calcChain xmlns="http://schemas.openxmlformats.org/spreadsheetml/2006/main">
  <c r="E25" i="1" l="1"/>
  <c r="F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7" i="1"/>
</calcChain>
</file>

<file path=xl/sharedStrings.xml><?xml version="1.0" encoding="utf-8"?>
<sst xmlns="http://schemas.openxmlformats.org/spreadsheetml/2006/main" count="37" uniqueCount="33">
  <si>
    <t>Расчетная ведомость</t>
  </si>
  <si>
    <t>Период: 9 месяцев 2025 г.</t>
  </si>
  <si>
    <t>№ 
п/п</t>
  </si>
  <si>
    <t>Работник</t>
  </si>
  <si>
    <t>Табельный номер</t>
  </si>
  <si>
    <t>Должность</t>
  </si>
  <si>
    <t>Отработано дней</t>
  </si>
  <si>
    <t>Отработано часов</t>
  </si>
  <si>
    <t>Всего начислено</t>
  </si>
  <si>
    <t>Оклад по дням</t>
  </si>
  <si>
    <t>Отпуск очередной</t>
  </si>
  <si>
    <t>Отпуск по беременности и родам</t>
  </si>
  <si>
    <t>Всего удержано</t>
  </si>
  <si>
    <t>Подоходный налог</t>
  </si>
  <si>
    <t>Всего выплачено</t>
  </si>
  <si>
    <t>Выдано из кассы</t>
  </si>
  <si>
    <t>Итого</t>
  </si>
  <si>
    <t>:</t>
  </si>
  <si>
    <t>подпись</t>
  </si>
  <si>
    <t>расшифровка подписи</t>
  </si>
  <si>
    <t>Главный бухгалтер:</t>
  </si>
  <si>
    <t>ФЭУ</t>
  </si>
  <si>
    <t>Руководство</t>
  </si>
  <si>
    <t>Финансовый департамент</t>
  </si>
  <si>
    <t>Отдел закупок</t>
  </si>
  <si>
    <t>Бухгалтерия</t>
  </si>
  <si>
    <t>Начальник:</t>
  </si>
  <si>
    <t>За звание</t>
  </si>
  <si>
    <t>За стаж</t>
  </si>
  <si>
    <t>Профсоюзный фонд</t>
  </si>
  <si>
    <t>Народно-демократическаяпартия</t>
  </si>
  <si>
    <t>Социальный налог2%</t>
  </si>
  <si>
    <t>Выплачено по банку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</si>
</sst>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\-#,##0.00"/>
    <numFmt numFmtId="165" formatCode="0.00;[Red]\-0.00"/>
    <numFmt numFmtId="166" formatCode="00000"/>
  </numFmts>
  <fonts count="10" x14ac:knownFonts="1">
    <font>
      <sz val="8"/>
      <name val="Arial"/>
    </font>
    <font>
      <b/>
      <i/>
      <sz val="18"/>
      <name val="Arial"/>
      <family val="2"/>
    </font>
    <font>
      <b/>
      <sz val="8"/>
      <name val="Arial"/>
      <family val="2"/>
    </font>
    <font>
      <b/>
      <sz val="9"/>
      <color rgb="FF594304"/>
      <name val="Arial"/>
      <family val="2"/>
    </font>
    <font>
      <b/>
      <sz val="8"/>
      <color rgb="FF000000"/>
      <name val="Arial"/>
      <family val="2"/>
    </font>
    <font>
      <b/>
      <sz val="8"/>
      <color rgb="FF594304"/>
      <name val="Arial"/>
      <family val="2"/>
    </font>
    <font>
      <sz val="8"/>
      <color rgb="FF000000"/>
      <name val="Arial"/>
      <family val="2"/>
    </font>
    <font>
      <sz val="6"/>
      <name val="Verdana"/>
      <family val="2"/>
    </font>
    <font>
      <b/>
      <sz val="8"/>
      <color rgb="FF000000"/>
      <name val="Arial"/>
      <family val="2"/>
      <charset val="204"/>
    </font>
    <font>
      <b/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5F2DD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164" fontId="5" fillId="2" borderId="1" xfId="0" applyNumberFormat="1" applyFont="1" applyFill="1" applyBorder="1" applyAlignment="1">
      <alignment horizontal="right" vertical="top"/>
    </xf>
    <xf numFmtId="0" fontId="5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65" fontId="6" fillId="3" borderId="1" xfId="0" applyNumberFormat="1" applyFont="1" applyFill="1" applyBorder="1" applyAlignment="1">
      <alignment horizontal="right" vertical="top"/>
    </xf>
    <xf numFmtId="164" fontId="6" fillId="3" borderId="1" xfId="0" applyNumberFormat="1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left" vertical="top"/>
    </xf>
    <xf numFmtId="1" fontId="6" fillId="3" borderId="1" xfId="0" applyNumberFormat="1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166" fontId="6" fillId="3" borderId="1" xfId="0" applyNumberFormat="1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7" fillId="0" borderId="2" xfId="0" applyFont="1" applyBorder="1" applyAlignment="1">
      <alignment horizontal="center" vertical="top"/>
    </xf>
    <xf numFmtId="0" fontId="8" fillId="3" borderId="1" xfId="0" applyFont="1" applyFill="1" applyBorder="1" applyAlignment="1">
      <alignment horizontal="left" vertical="top" wrapText="1" indent="1"/>
    </xf>
    <xf numFmtId="0" fontId="8" fillId="3" borderId="1" xfId="0" applyFont="1" applyFill="1" applyBorder="1" applyAlignment="1">
      <alignment horizontal="left" vertical="top" indent="1"/>
    </xf>
    <xf numFmtId="0" fontId="8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/>
    </xf>
    <xf numFmtId="164" fontId="8" fillId="3" borderId="1" xfId="0" applyNumberFormat="1" applyFont="1" applyFill="1" applyBorder="1" applyAlignment="1">
      <alignment horizontal="right" vertical="top"/>
    </xf>
    <xf numFmtId="0" fontId="9" fillId="0" borderId="0" xfId="0" applyFont="1" applyAlignment="1">
      <alignment horizontal="left" vertical="top"/>
    </xf>
    <xf numFmtId="165" fontId="8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T32"/>
  <sheetViews>
    <sheetView tabSelected="1" zoomScale="70" zoomScaleNormal="70" workbookViewId="0">
      <selection activeCell="E32" sqref="E32:F32"/>
    </sheetView>
  </sheetViews>
  <sheetFormatPr defaultColWidth="10.5" defaultRowHeight="11.45" customHeight="1" outlineLevelRow="2" outlineLevelCol="1" x14ac:dyDescent="0.2"/>
  <cols>
    <col min="1" max="1" width="6" style="1" customWidth="1"/>
    <col min="2" max="2" width="35" style="1" customWidth="1"/>
    <col min="3" max="3" width="8.1640625" style="1" customWidth="1"/>
    <col min="4" max="4" width="21" style="1" customWidth="1"/>
    <col min="5" max="7" width="13.33203125" style="1" customWidth="1"/>
    <col min="8" max="12" width="13.33203125" style="1" customWidth="1" outlineLevel="1"/>
    <col min="13" max="13" width="13.33203125" style="1" customWidth="1"/>
    <col min="14" max="17" width="13.33203125" style="1" customWidth="1" outlineLevel="1"/>
    <col min="18" max="18" width="13.33203125" style="1" customWidth="1"/>
    <col min="19" max="19" width="13.33203125" style="1" customWidth="1" outlineLevel="1"/>
  </cols>
  <sheetData>
    <row r="1" spans="1:20" ht="24.95" customHeight="1" x14ac:dyDescent="0.35">
      <c r="A1" s="2" t="s">
        <v>0</v>
      </c>
    </row>
    <row r="2" spans="1:20" ht="11.1" customHeight="1" x14ac:dyDescent="0.2"/>
    <row r="3" spans="1:20" ht="11.1" customHeight="1" x14ac:dyDescent="0.2">
      <c r="B3" s="1" t="s">
        <v>1</v>
      </c>
    </row>
    <row r="4" spans="1:20" ht="11.1" customHeight="1" x14ac:dyDescent="0.2"/>
    <row r="5" spans="1:20" s="3" customFormat="1" ht="38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5" t="s">
        <v>6</v>
      </c>
      <c r="F5" s="5" t="s">
        <v>7</v>
      </c>
      <c r="G5" s="6" t="s">
        <v>8</v>
      </c>
      <c r="H5" s="5" t="s">
        <v>9</v>
      </c>
      <c r="I5" s="5" t="s">
        <v>10</v>
      </c>
      <c r="J5" s="5" t="s">
        <v>11</v>
      </c>
      <c r="K5" s="5" t="s">
        <v>27</v>
      </c>
      <c r="L5" s="5" t="s">
        <v>28</v>
      </c>
      <c r="M5" s="6" t="s">
        <v>12</v>
      </c>
      <c r="N5" s="5" t="s">
        <v>29</v>
      </c>
      <c r="O5" s="5" t="s">
        <v>30</v>
      </c>
      <c r="P5" s="5" t="s">
        <v>31</v>
      </c>
      <c r="Q5" s="5" t="s">
        <v>13</v>
      </c>
      <c r="R5" s="6" t="s">
        <v>14</v>
      </c>
      <c r="S5" s="5" t="s">
        <v>15</v>
      </c>
      <c r="T5" s="5" t="s">
        <v>32</v>
      </c>
    </row>
    <row r="6" spans="1:20" ht="11.1" customHeight="1" x14ac:dyDescent="0.2">
      <c r="A6" s="7"/>
      <c r="B6" s="8" t="s">
        <v>21</v>
      </c>
      <c r="C6" s="7"/>
      <c r="D6" s="9"/>
      <c r="E6" s="10">
        <v>1283</v>
      </c>
      <c r="F6" s="10">
        <v>10223</v>
      </c>
      <c r="G6" s="10">
        <v>115418.06</v>
      </c>
      <c r="H6" s="10">
        <v>114342.86</v>
      </c>
      <c r="I6" s="10">
        <v>1075.2</v>
      </c>
      <c r="J6" s="11"/>
      <c r="K6" s="11"/>
      <c r="L6" s="11"/>
      <c r="M6" s="10">
        <v>14747.52</v>
      </c>
      <c r="N6" s="10">
        <v>2308.36</v>
      </c>
      <c r="O6" s="10"/>
      <c r="P6" s="10"/>
      <c r="Q6" s="10">
        <v>12439.16</v>
      </c>
      <c r="R6" s="10">
        <v>100670.54</v>
      </c>
      <c r="S6" s="10">
        <v>100670.54</v>
      </c>
      <c r="T6" s="10"/>
    </row>
    <row r="7" spans="1:20" s="29" customFormat="1" ht="11.1" customHeight="1" outlineLevel="1" x14ac:dyDescent="0.2">
      <c r="A7" s="24"/>
      <c r="B7" s="25" t="s">
        <v>22</v>
      </c>
      <c r="C7" s="26"/>
      <c r="D7" s="27"/>
      <c r="E7" s="30">
        <v>376</v>
      </c>
      <c r="F7" s="28">
        <v>2996</v>
      </c>
      <c r="G7" s="28">
        <f>SUM(H7:L7)</f>
        <v>56700</v>
      </c>
      <c r="H7" s="28">
        <v>56700</v>
      </c>
      <c r="I7" s="27"/>
      <c r="J7" s="27"/>
      <c r="K7" s="27"/>
      <c r="L7" s="27"/>
      <c r="M7" s="28">
        <v>7477.92</v>
      </c>
      <c r="N7" s="28">
        <v>1134</v>
      </c>
      <c r="O7" s="28"/>
      <c r="P7" s="28"/>
      <c r="Q7" s="28">
        <v>6343.92</v>
      </c>
      <c r="R7" s="28">
        <v>49222.080000000002</v>
      </c>
      <c r="S7" s="28">
        <v>49222.080000000002</v>
      </c>
      <c r="T7" s="28"/>
    </row>
    <row r="8" spans="1:20" s="12" customFormat="1" ht="11.1" customHeight="1" outlineLevel="2" x14ac:dyDescent="0.2">
      <c r="A8" s="16">
        <v>1</v>
      </c>
      <c r="B8" s="17">
        <v>123</v>
      </c>
      <c r="C8" s="18"/>
      <c r="D8" s="19"/>
      <c r="E8" s="13">
        <v>188</v>
      </c>
      <c r="F8" s="14">
        <v>1498</v>
      </c>
      <c r="G8" s="14">
        <f t="shared" ref="G8:G24" si="0">SUM(H8:L8)</f>
        <v>37800</v>
      </c>
      <c r="H8" s="14">
        <v>37800</v>
      </c>
      <c r="I8" s="15"/>
      <c r="J8" s="15"/>
      <c r="K8" s="19"/>
      <c r="L8" s="19"/>
      <c r="M8" s="14">
        <v>5039.28</v>
      </c>
      <c r="N8" s="13">
        <v>756</v>
      </c>
      <c r="O8" s="13"/>
      <c r="P8" s="13"/>
      <c r="Q8" s="14">
        <v>4283.28</v>
      </c>
      <c r="R8" s="14">
        <v>32760.720000000001</v>
      </c>
      <c r="S8" s="14">
        <v>32760.720000000001</v>
      </c>
      <c r="T8" s="14"/>
    </row>
    <row r="9" spans="1:20" s="12" customFormat="1" ht="11.1" customHeight="1" outlineLevel="2" x14ac:dyDescent="0.2">
      <c r="A9" s="16">
        <v>2</v>
      </c>
      <c r="B9" s="17">
        <v>123</v>
      </c>
      <c r="C9" s="18"/>
      <c r="D9" s="19"/>
      <c r="E9" s="13">
        <v>188</v>
      </c>
      <c r="F9" s="14">
        <v>1498</v>
      </c>
      <c r="G9" s="14">
        <f t="shared" si="0"/>
        <v>18900</v>
      </c>
      <c r="H9" s="14">
        <v>18900</v>
      </c>
      <c r="I9" s="15"/>
      <c r="J9" s="15"/>
      <c r="K9" s="19"/>
      <c r="L9" s="19"/>
      <c r="M9" s="14">
        <v>2438.64</v>
      </c>
      <c r="N9" s="13">
        <v>378</v>
      </c>
      <c r="O9" s="13"/>
      <c r="P9" s="13"/>
      <c r="Q9" s="14">
        <v>2060.64</v>
      </c>
      <c r="R9" s="14">
        <v>16461.36</v>
      </c>
      <c r="S9" s="14">
        <v>16461.36</v>
      </c>
      <c r="T9" s="14"/>
    </row>
    <row r="10" spans="1:20" s="29" customFormat="1" ht="11.1" customHeight="1" outlineLevel="1" x14ac:dyDescent="0.2">
      <c r="A10" s="24"/>
      <c r="B10" s="25" t="s">
        <v>23</v>
      </c>
      <c r="C10" s="26"/>
      <c r="D10" s="27"/>
      <c r="E10" s="30">
        <v>907</v>
      </c>
      <c r="F10" s="28">
        <v>7227</v>
      </c>
      <c r="G10" s="28">
        <f t="shared" si="0"/>
        <v>58718.06</v>
      </c>
      <c r="H10" s="28">
        <v>57642.86</v>
      </c>
      <c r="I10" s="28">
        <v>1075.2</v>
      </c>
      <c r="J10" s="27"/>
      <c r="K10" s="27"/>
      <c r="L10" s="27"/>
      <c r="M10" s="28">
        <v>7269.6</v>
      </c>
      <c r="N10" s="28">
        <v>1174.3599999999999</v>
      </c>
      <c r="O10" s="28"/>
      <c r="P10" s="28"/>
      <c r="Q10" s="28">
        <v>6095.24</v>
      </c>
      <c r="R10" s="28">
        <v>51448.46</v>
      </c>
      <c r="S10" s="28">
        <v>51448.46</v>
      </c>
      <c r="T10" s="28"/>
    </row>
    <row r="11" spans="1:20" s="12" customFormat="1" ht="11.1" customHeight="1" outlineLevel="2" x14ac:dyDescent="0.2">
      <c r="A11" s="16">
        <v>3</v>
      </c>
      <c r="B11" s="17">
        <v>123</v>
      </c>
      <c r="C11" s="18"/>
      <c r="D11" s="19"/>
      <c r="E11" s="13">
        <v>188</v>
      </c>
      <c r="F11" s="14">
        <v>1498</v>
      </c>
      <c r="G11" s="14">
        <f t="shared" si="0"/>
        <v>12150</v>
      </c>
      <c r="H11" s="14">
        <v>12150</v>
      </c>
      <c r="I11" s="15"/>
      <c r="J11" s="15"/>
      <c r="K11" s="19"/>
      <c r="L11" s="19"/>
      <c r="M11" s="14">
        <v>1509.84</v>
      </c>
      <c r="N11" s="13">
        <v>243</v>
      </c>
      <c r="O11" s="13"/>
      <c r="P11" s="13"/>
      <c r="Q11" s="14">
        <v>1266.8399999999999</v>
      </c>
      <c r="R11" s="14">
        <v>10640.16</v>
      </c>
      <c r="S11" s="14">
        <v>10640.16</v>
      </c>
      <c r="T11" s="14"/>
    </row>
    <row r="12" spans="1:20" s="12" customFormat="1" ht="11.1" customHeight="1" outlineLevel="2" x14ac:dyDescent="0.2">
      <c r="A12" s="16">
        <v>4</v>
      </c>
      <c r="B12" s="17">
        <v>123</v>
      </c>
      <c r="C12" s="18"/>
      <c r="D12" s="19"/>
      <c r="E12" s="13">
        <v>177</v>
      </c>
      <c r="F12" s="14">
        <v>1410</v>
      </c>
      <c r="G12" s="14">
        <f t="shared" si="0"/>
        <v>11442.86</v>
      </c>
      <c r="H12" s="14">
        <v>11442.86</v>
      </c>
      <c r="I12" s="15"/>
      <c r="J12" s="15"/>
      <c r="K12" s="19"/>
      <c r="L12" s="19"/>
      <c r="M12" s="14">
        <v>1412.54</v>
      </c>
      <c r="N12" s="13">
        <v>228.86</v>
      </c>
      <c r="O12" s="13"/>
      <c r="P12" s="13"/>
      <c r="Q12" s="14">
        <v>1183.68</v>
      </c>
      <c r="R12" s="14">
        <v>10030.32</v>
      </c>
      <c r="S12" s="14">
        <v>10030.32</v>
      </c>
      <c r="T12" s="14"/>
    </row>
    <row r="13" spans="1:20" s="12" customFormat="1" ht="11.1" customHeight="1" outlineLevel="2" x14ac:dyDescent="0.2">
      <c r="A13" s="16">
        <v>5</v>
      </c>
      <c r="B13" s="17">
        <v>123</v>
      </c>
      <c r="C13" s="18"/>
      <c r="D13" s="19"/>
      <c r="E13" s="13">
        <v>166</v>
      </c>
      <c r="F13" s="14">
        <v>1323</v>
      </c>
      <c r="G13" s="14">
        <f t="shared" si="0"/>
        <v>9475.2000000000007</v>
      </c>
      <c r="H13" s="14">
        <v>8400</v>
      </c>
      <c r="I13" s="14">
        <v>1075.2</v>
      </c>
      <c r="J13" s="15"/>
      <c r="K13" s="19"/>
      <c r="L13" s="19"/>
      <c r="M13" s="14">
        <v>1141.78</v>
      </c>
      <c r="N13" s="13">
        <v>189.5</v>
      </c>
      <c r="O13" s="13"/>
      <c r="P13" s="13"/>
      <c r="Q13" s="13">
        <v>952.28</v>
      </c>
      <c r="R13" s="14">
        <v>8333.42</v>
      </c>
      <c r="S13" s="14">
        <v>8333.42</v>
      </c>
      <c r="T13" s="14"/>
    </row>
    <row r="14" spans="1:20" s="12" customFormat="1" ht="11.1" customHeight="1" outlineLevel="2" x14ac:dyDescent="0.2">
      <c r="A14" s="16">
        <v>6</v>
      </c>
      <c r="B14" s="17">
        <v>123</v>
      </c>
      <c r="C14" s="18"/>
      <c r="D14" s="19"/>
      <c r="E14" s="13">
        <v>188</v>
      </c>
      <c r="F14" s="14">
        <v>1498</v>
      </c>
      <c r="G14" s="14">
        <f t="shared" si="0"/>
        <v>12150</v>
      </c>
      <c r="H14" s="14">
        <v>12150</v>
      </c>
      <c r="I14" s="15"/>
      <c r="J14" s="15"/>
      <c r="K14" s="19"/>
      <c r="L14" s="19"/>
      <c r="M14" s="14">
        <v>1509.84</v>
      </c>
      <c r="N14" s="13">
        <v>243</v>
      </c>
      <c r="O14" s="13"/>
      <c r="P14" s="13"/>
      <c r="Q14" s="14">
        <v>1266.8399999999999</v>
      </c>
      <c r="R14" s="14">
        <v>10640.16</v>
      </c>
      <c r="S14" s="14">
        <v>10640.16</v>
      </c>
      <c r="T14" s="14"/>
    </row>
    <row r="15" spans="1:20" s="12" customFormat="1" ht="11.1" customHeight="1" outlineLevel="2" x14ac:dyDescent="0.2">
      <c r="A15" s="16">
        <v>7</v>
      </c>
      <c r="B15" s="17">
        <v>123</v>
      </c>
      <c r="C15" s="18"/>
      <c r="D15" s="19"/>
      <c r="E15" s="13">
        <v>188</v>
      </c>
      <c r="F15" s="14">
        <v>1498</v>
      </c>
      <c r="G15" s="14">
        <f t="shared" si="0"/>
        <v>13500</v>
      </c>
      <c r="H15" s="14">
        <v>13500</v>
      </c>
      <c r="I15" s="15"/>
      <c r="J15" s="15"/>
      <c r="K15" s="19"/>
      <c r="L15" s="19"/>
      <c r="M15" s="14">
        <v>1695.6</v>
      </c>
      <c r="N15" s="13">
        <v>270</v>
      </c>
      <c r="O15" s="13"/>
      <c r="P15" s="13"/>
      <c r="Q15" s="14">
        <v>1425.6</v>
      </c>
      <c r="R15" s="14">
        <v>11804.4</v>
      </c>
      <c r="S15" s="14">
        <v>11804.4</v>
      </c>
      <c r="T15" s="14"/>
    </row>
    <row r="16" spans="1:20" s="29" customFormat="1" ht="11.1" customHeight="1" outlineLevel="1" x14ac:dyDescent="0.2">
      <c r="A16" s="24"/>
      <c r="B16" s="25" t="s">
        <v>24</v>
      </c>
      <c r="C16" s="26"/>
      <c r="D16" s="27"/>
      <c r="E16" s="30">
        <v>188</v>
      </c>
      <c r="F16" s="28">
        <v>1498</v>
      </c>
      <c r="G16" s="28">
        <f t="shared" si="0"/>
        <v>18000</v>
      </c>
      <c r="H16" s="28">
        <v>18000</v>
      </c>
      <c r="I16" s="27"/>
      <c r="J16" s="27"/>
      <c r="K16" s="27"/>
      <c r="L16" s="27"/>
      <c r="M16" s="28">
        <v>2314.8000000000002</v>
      </c>
      <c r="N16" s="30">
        <v>360</v>
      </c>
      <c r="O16" s="30"/>
      <c r="P16" s="30"/>
      <c r="Q16" s="28">
        <v>1954.8</v>
      </c>
      <c r="R16" s="28">
        <v>15685.2</v>
      </c>
      <c r="S16" s="28">
        <v>15685.2</v>
      </c>
      <c r="T16" s="28"/>
    </row>
    <row r="17" spans="1:20" s="12" customFormat="1" ht="11.1" customHeight="1" outlineLevel="2" x14ac:dyDescent="0.2">
      <c r="A17" s="16">
        <v>1</v>
      </c>
      <c r="B17" s="17">
        <v>123</v>
      </c>
      <c r="C17" s="18"/>
      <c r="D17" s="19"/>
      <c r="E17" s="13">
        <v>188</v>
      </c>
      <c r="F17" s="14">
        <v>1498</v>
      </c>
      <c r="G17" s="14">
        <f t="shared" si="0"/>
        <v>18000</v>
      </c>
      <c r="H17" s="14">
        <v>18000</v>
      </c>
      <c r="I17" s="15"/>
      <c r="J17" s="15"/>
      <c r="K17" s="19"/>
      <c r="L17" s="19"/>
      <c r="M17" s="14">
        <v>2314.8000000000002</v>
      </c>
      <c r="N17" s="13">
        <v>360</v>
      </c>
      <c r="O17" s="13"/>
      <c r="P17" s="13"/>
      <c r="Q17" s="14">
        <v>1954.8</v>
      </c>
      <c r="R17" s="14">
        <v>15685.2</v>
      </c>
      <c r="S17" s="14">
        <v>15685.2</v>
      </c>
      <c r="T17" s="14"/>
    </row>
    <row r="18" spans="1:20" s="29" customFormat="1" ht="11.1" customHeight="1" outlineLevel="1" x14ac:dyDescent="0.2">
      <c r="A18" s="24"/>
      <c r="B18" s="25" t="s">
        <v>25</v>
      </c>
      <c r="C18" s="26"/>
      <c r="D18" s="27"/>
      <c r="E18" s="28">
        <v>1106</v>
      </c>
      <c r="F18" s="28">
        <v>8813</v>
      </c>
      <c r="G18" s="28">
        <f t="shared" si="0"/>
        <v>82835.7</v>
      </c>
      <c r="H18" s="28">
        <v>81300</v>
      </c>
      <c r="I18" s="28">
        <v>1535.7</v>
      </c>
      <c r="J18" s="27"/>
      <c r="K18" s="27"/>
      <c r="L18" s="27"/>
      <c r="M18" s="28">
        <v>10426.19</v>
      </c>
      <c r="N18" s="28">
        <v>1656.71</v>
      </c>
      <c r="O18" s="28"/>
      <c r="P18" s="28"/>
      <c r="Q18" s="28">
        <v>8769.48</v>
      </c>
      <c r="R18" s="28">
        <v>72409.509999999995</v>
      </c>
      <c r="S18" s="28">
        <v>72409.509999999995</v>
      </c>
      <c r="T18" s="28"/>
    </row>
    <row r="19" spans="1:20" s="12" customFormat="1" ht="11.1" customHeight="1" outlineLevel="2" x14ac:dyDescent="0.2">
      <c r="A19" s="16">
        <v>3</v>
      </c>
      <c r="B19" s="17">
        <v>123</v>
      </c>
      <c r="C19" s="18"/>
      <c r="D19" s="19"/>
      <c r="E19" s="13">
        <v>188</v>
      </c>
      <c r="F19" s="14">
        <v>1498</v>
      </c>
      <c r="G19" s="14">
        <f t="shared" si="0"/>
        <v>12150</v>
      </c>
      <c r="H19" s="14">
        <v>12150</v>
      </c>
      <c r="I19" s="15"/>
      <c r="J19" s="15"/>
      <c r="K19" s="19"/>
      <c r="L19" s="19"/>
      <c r="M19" s="14">
        <v>1509.84</v>
      </c>
      <c r="N19" s="13">
        <v>243</v>
      </c>
      <c r="O19" s="13"/>
      <c r="P19" s="13"/>
      <c r="Q19" s="14">
        <v>1266.8399999999999</v>
      </c>
      <c r="R19" s="14">
        <v>10640.16</v>
      </c>
      <c r="S19" s="14">
        <v>10640.16</v>
      </c>
      <c r="T19" s="14"/>
    </row>
    <row r="20" spans="1:20" s="12" customFormat="1" ht="11.1" customHeight="1" outlineLevel="2" x14ac:dyDescent="0.2">
      <c r="A20" s="16">
        <v>4</v>
      </c>
      <c r="B20" s="17">
        <v>123</v>
      </c>
      <c r="C20" s="18"/>
      <c r="D20" s="19"/>
      <c r="E20" s="13">
        <v>188</v>
      </c>
      <c r="F20" s="14">
        <v>1498</v>
      </c>
      <c r="G20" s="14">
        <f t="shared" si="0"/>
        <v>9450</v>
      </c>
      <c r="H20" s="14">
        <v>9450</v>
      </c>
      <c r="I20" s="15"/>
      <c r="J20" s="15"/>
      <c r="K20" s="19"/>
      <c r="L20" s="19"/>
      <c r="M20" s="14">
        <v>1138.32</v>
      </c>
      <c r="N20" s="13">
        <v>189</v>
      </c>
      <c r="O20" s="13"/>
      <c r="P20" s="13"/>
      <c r="Q20" s="13">
        <v>949.32</v>
      </c>
      <c r="R20" s="14">
        <v>8311.68</v>
      </c>
      <c r="S20" s="14">
        <v>8311.68</v>
      </c>
      <c r="T20" s="14"/>
    </row>
    <row r="21" spans="1:20" s="12" customFormat="1" ht="11.1" customHeight="1" outlineLevel="2" x14ac:dyDescent="0.2">
      <c r="A21" s="16">
        <v>5</v>
      </c>
      <c r="B21" s="17">
        <v>123</v>
      </c>
      <c r="C21" s="18"/>
      <c r="D21" s="19"/>
      <c r="E21" s="13">
        <v>188</v>
      </c>
      <c r="F21" s="14">
        <v>1498</v>
      </c>
      <c r="G21" s="14">
        <f t="shared" si="0"/>
        <v>12150</v>
      </c>
      <c r="H21" s="14">
        <v>12150</v>
      </c>
      <c r="I21" s="15"/>
      <c r="J21" s="15"/>
      <c r="K21" s="19"/>
      <c r="L21" s="19"/>
      <c r="M21" s="14">
        <v>1509.84</v>
      </c>
      <c r="N21" s="13">
        <v>243</v>
      </c>
      <c r="O21" s="13"/>
      <c r="P21" s="13"/>
      <c r="Q21" s="14">
        <v>1266.8399999999999</v>
      </c>
      <c r="R21" s="14">
        <v>10640.16</v>
      </c>
      <c r="S21" s="14">
        <v>10640.16</v>
      </c>
      <c r="T21" s="14"/>
    </row>
    <row r="22" spans="1:20" s="12" customFormat="1" ht="11.1" customHeight="1" outlineLevel="2" x14ac:dyDescent="0.2">
      <c r="A22" s="16">
        <v>6</v>
      </c>
      <c r="B22" s="17">
        <v>123</v>
      </c>
      <c r="C22" s="18"/>
      <c r="D22" s="19"/>
      <c r="E22" s="13">
        <v>188</v>
      </c>
      <c r="F22" s="14">
        <v>1498</v>
      </c>
      <c r="G22" s="14">
        <f t="shared" si="0"/>
        <v>13500</v>
      </c>
      <c r="H22" s="14">
        <v>13500</v>
      </c>
      <c r="I22" s="15"/>
      <c r="J22" s="15"/>
      <c r="K22" s="19"/>
      <c r="L22" s="19"/>
      <c r="M22" s="14">
        <v>1695.6</v>
      </c>
      <c r="N22" s="13">
        <v>270</v>
      </c>
      <c r="O22" s="13"/>
      <c r="P22" s="13"/>
      <c r="Q22" s="14">
        <v>1425.6</v>
      </c>
      <c r="R22" s="14">
        <v>11804.4</v>
      </c>
      <c r="S22" s="14">
        <v>11804.4</v>
      </c>
      <c r="T22" s="14"/>
    </row>
    <row r="23" spans="1:20" s="12" customFormat="1" ht="11.1" customHeight="1" outlineLevel="2" x14ac:dyDescent="0.2">
      <c r="A23" s="16">
        <v>7</v>
      </c>
      <c r="B23" s="17">
        <v>123</v>
      </c>
      <c r="C23" s="18"/>
      <c r="D23" s="19"/>
      <c r="E23" s="13">
        <v>188</v>
      </c>
      <c r="F23" s="14">
        <v>1498</v>
      </c>
      <c r="G23" s="14">
        <f t="shared" si="0"/>
        <v>22050</v>
      </c>
      <c r="H23" s="14">
        <v>22050</v>
      </c>
      <c r="I23" s="15"/>
      <c r="J23" s="15"/>
      <c r="K23" s="19"/>
      <c r="L23" s="19"/>
      <c r="M23" s="14">
        <v>2872.08</v>
      </c>
      <c r="N23" s="13">
        <v>441</v>
      </c>
      <c r="O23" s="13"/>
      <c r="P23" s="13"/>
      <c r="Q23" s="14">
        <v>2431.08</v>
      </c>
      <c r="R23" s="14">
        <v>19177.919999999998</v>
      </c>
      <c r="S23" s="14">
        <v>19177.919999999998</v>
      </c>
      <c r="T23" s="14"/>
    </row>
    <row r="24" spans="1:20" s="12" customFormat="1" ht="11.1" customHeight="1" outlineLevel="2" x14ac:dyDescent="0.2">
      <c r="A24" s="16">
        <v>8</v>
      </c>
      <c r="B24" s="17">
        <v>123</v>
      </c>
      <c r="C24" s="18"/>
      <c r="D24" s="19"/>
      <c r="E24" s="13">
        <v>166</v>
      </c>
      <c r="F24" s="14">
        <v>1323</v>
      </c>
      <c r="G24" s="14">
        <f t="shared" si="0"/>
        <v>13535.7</v>
      </c>
      <c r="H24" s="14">
        <v>12000</v>
      </c>
      <c r="I24" s="14">
        <v>1535.7</v>
      </c>
      <c r="J24" s="15"/>
      <c r="K24" s="19"/>
      <c r="L24" s="19"/>
      <c r="M24" s="14">
        <v>1700.51</v>
      </c>
      <c r="N24" s="13">
        <v>270.70999999999998</v>
      </c>
      <c r="O24" s="13"/>
      <c r="P24" s="13"/>
      <c r="Q24" s="14">
        <v>1429.8</v>
      </c>
      <c r="R24" s="14">
        <v>11835.19</v>
      </c>
      <c r="S24" s="14">
        <v>11835.19</v>
      </c>
      <c r="T24" s="14"/>
    </row>
    <row r="25" spans="1:20" s="20" customFormat="1" ht="11.1" customHeight="1" x14ac:dyDescent="0.2">
      <c r="A25" s="9" t="s">
        <v>16</v>
      </c>
      <c r="B25" s="9"/>
      <c r="C25" s="9"/>
      <c r="D25" s="9"/>
      <c r="E25" s="10">
        <f>E7+E10+E16+E18</f>
        <v>2577</v>
      </c>
      <c r="F25" s="10">
        <f>SUM(F7:F24)</f>
        <v>41068</v>
      </c>
      <c r="G25" s="10">
        <f>SUM(G7:G24)</f>
        <v>432507.52</v>
      </c>
      <c r="H25" s="10">
        <f t="shared" ref="H25:T25" si="1">SUM(H7:H24)</f>
        <v>427285.72</v>
      </c>
      <c r="I25" s="10">
        <f t="shared" si="1"/>
        <v>5221.8</v>
      </c>
      <c r="J25" s="10">
        <f t="shared" si="1"/>
        <v>0</v>
      </c>
      <c r="K25" s="10">
        <f t="shared" si="1"/>
        <v>0</v>
      </c>
      <c r="L25" s="10">
        <f t="shared" si="1"/>
        <v>0</v>
      </c>
      <c r="M25" s="10">
        <f t="shared" si="1"/>
        <v>54977.02</v>
      </c>
      <c r="N25" s="10">
        <f t="shared" si="1"/>
        <v>8650.14</v>
      </c>
      <c r="O25" s="10">
        <f t="shared" si="1"/>
        <v>0</v>
      </c>
      <c r="P25" s="10">
        <f t="shared" si="1"/>
        <v>0</v>
      </c>
      <c r="Q25" s="10">
        <f t="shared" si="1"/>
        <v>46326.87999999999</v>
      </c>
      <c r="R25" s="10">
        <f t="shared" si="1"/>
        <v>377530.5</v>
      </c>
      <c r="S25" s="10">
        <f t="shared" si="1"/>
        <v>377530.5</v>
      </c>
      <c r="T25" s="10">
        <f t="shared" si="1"/>
        <v>0</v>
      </c>
    </row>
    <row r="26" spans="1:20" ht="11.1" customHeight="1" x14ac:dyDescent="0.2"/>
    <row r="27" spans="1:20" ht="11.1" customHeight="1" x14ac:dyDescent="0.2">
      <c r="D27" s="21" t="s">
        <v>26</v>
      </c>
      <c r="H27" s="22">
        <v>123</v>
      </c>
      <c r="I27" s="22"/>
    </row>
    <row r="28" spans="1:20" ht="11.1" customHeight="1" x14ac:dyDescent="0.2">
      <c r="E28" s="23" t="s">
        <v>18</v>
      </c>
      <c r="F28" s="23"/>
      <c r="H28" s="23" t="s">
        <v>19</v>
      </c>
      <c r="I28" s="23"/>
    </row>
    <row r="29" spans="1:20" ht="11.1" customHeight="1" x14ac:dyDescent="0.2">
      <c r="D29" s="21" t="s">
        <v>20</v>
      </c>
      <c r="H29" s="22">
        <v>123</v>
      </c>
      <c r="I29" s="22"/>
    </row>
    <row r="30" spans="1:20" ht="11.1" customHeight="1" x14ac:dyDescent="0.2">
      <c r="E30" s="23" t="s">
        <v>18</v>
      </c>
      <c r="F30" s="23"/>
      <c r="H30" s="23" t="s">
        <v>19</v>
      </c>
      <c r="I30" s="23"/>
    </row>
    <row r="31" spans="1:20" ht="11.1" customHeight="1" x14ac:dyDescent="0.2">
      <c r="D31" s="21" t="s">
        <v>17</v>
      </c>
    </row>
    <row r="32" spans="1:20" ht="11.1" customHeight="1" x14ac:dyDescent="0.2">
      <c r="E32" s="23" t="s">
        <v>18</v>
      </c>
      <c r="F32" s="23"/>
      <c r="H32" s="23" t="s">
        <v>19</v>
      </c>
      <c r="I32" s="23"/>
    </row>
  </sheetData>
  <mergeCells count="8">
    <mergeCell ref="E32:F32"/>
    <mergeCell ref="H32:I32"/>
    <mergeCell ref="H27:I27"/>
    <mergeCell ref="E28:F28"/>
    <mergeCell ref="H28:I28"/>
    <mergeCell ref="H29:I29"/>
    <mergeCell ref="E30:F30"/>
    <mergeCell ref="H30:I30"/>
  </mergeCells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Tolib</cp:lastModifiedBy>
  <dcterms:modified xsi:type="dcterms:W3CDTF">2025-12-13T20:34:16Z</dcterms:modified>
</cp:coreProperties>
</file>