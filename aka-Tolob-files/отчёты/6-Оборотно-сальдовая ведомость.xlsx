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3040" windowHeight="8592" tabRatio="810" activeTab="1"/>
  </bookViews>
  <sheets>
    <sheet name="План счетов" sheetId="7" r:id="rId1"/>
    <sheet name="ОСВ" sheetId="11" r:id="rId2"/>
  </sheets>
  <definedNames>
    <definedName name="НЯХ" localSheetId="0">'План счетов'!$A$2:$A$972</definedName>
    <definedName name="НЯХ">#REF!</definedName>
  </definedNames>
  <calcPr calcId="162913"/>
</workbook>
</file>

<file path=xl/calcChain.xml><?xml version="1.0" encoding="utf-8"?>
<calcChain xmlns="http://schemas.openxmlformats.org/spreadsheetml/2006/main">
  <c r="I96" i="11" l="1"/>
  <c r="H96" i="11"/>
  <c r="G96" i="11"/>
  <c r="F96" i="11"/>
  <c r="F4" i="11" l="1"/>
  <c r="E50" i="11"/>
  <c r="K43" i="11"/>
  <c r="J40" i="11"/>
  <c r="K36" i="11"/>
  <c r="K33" i="11"/>
  <c r="K34" i="11"/>
  <c r="K35" i="11"/>
  <c r="K38" i="11"/>
  <c r="E77" i="11"/>
  <c r="D77" i="11"/>
  <c r="J4" i="11" l="1"/>
  <c r="D70" i="11" l="1"/>
  <c r="E70" i="11"/>
  <c r="K50" i="11" l="1"/>
  <c r="K49" i="11"/>
  <c r="K48" i="11"/>
  <c r="K47" i="11"/>
  <c r="K46" i="11"/>
  <c r="K45" i="11"/>
  <c r="K44" i="11"/>
  <c r="J25" i="11"/>
  <c r="J26" i="11"/>
  <c r="J27" i="11"/>
  <c r="J28" i="11"/>
  <c r="J30" i="11"/>
  <c r="J5" i="11"/>
  <c r="K96" i="11" l="1"/>
  <c r="J96" i="11"/>
  <c r="D63" i="11"/>
  <c r="E63" i="11"/>
  <c r="D64" i="11"/>
  <c r="E64" i="11"/>
  <c r="D61" i="11"/>
  <c r="E61" i="11"/>
  <c r="D62" i="11"/>
  <c r="E62" i="11"/>
  <c r="D94" i="11" l="1"/>
  <c r="E94" i="11"/>
  <c r="D72" i="11"/>
  <c r="E72" i="11"/>
  <c r="D73" i="11"/>
  <c r="E73" i="11"/>
  <c r="E76" i="11"/>
  <c r="D76" i="11"/>
  <c r="D67" i="11"/>
  <c r="E67" i="11"/>
  <c r="D66" i="11"/>
  <c r="E66" i="11"/>
  <c r="E69" i="11"/>
  <c r="D69" i="11"/>
  <c r="E65" i="11"/>
  <c r="D65" i="11"/>
  <c r="D59" i="11"/>
  <c r="E59" i="11"/>
  <c r="D60" i="11"/>
  <c r="E60" i="11"/>
  <c r="D56" i="11"/>
  <c r="E56" i="11"/>
  <c r="D57" i="11"/>
  <c r="E57" i="11"/>
  <c r="D58" i="11"/>
  <c r="E58" i="11"/>
  <c r="D55" i="11"/>
  <c r="E55" i="11"/>
  <c r="D54" i="11"/>
  <c r="E54" i="11"/>
  <c r="D51" i="11"/>
  <c r="E51" i="11"/>
  <c r="E46" i="11" l="1"/>
  <c r="D46" i="11"/>
  <c r="E6" i="11"/>
  <c r="D6" i="11"/>
  <c r="D48" i="11"/>
  <c r="E48" i="11"/>
  <c r="D49" i="11"/>
  <c r="E49" i="11"/>
  <c r="D50" i="11"/>
  <c r="D52" i="11"/>
  <c r="E52" i="11"/>
  <c r="D53" i="11"/>
  <c r="E53" i="11"/>
  <c r="E47" i="11"/>
  <c r="D47" i="11"/>
  <c r="E45" i="11"/>
  <c r="D45" i="11"/>
  <c r="E44" i="11"/>
  <c r="D44" i="11"/>
  <c r="D41" i="11"/>
  <c r="E41" i="11"/>
  <c r="D42" i="11"/>
  <c r="E42" i="11"/>
  <c r="D43" i="11"/>
  <c r="E43" i="11"/>
  <c r="E40" i="11"/>
  <c r="D40" i="11"/>
  <c r="D36" i="11"/>
  <c r="E36" i="11"/>
  <c r="D37" i="11"/>
  <c r="E37" i="11"/>
  <c r="D38" i="11"/>
  <c r="E38" i="11"/>
  <c r="D39" i="11"/>
  <c r="E39" i="11"/>
  <c r="D25" i="11"/>
  <c r="E25" i="11"/>
  <c r="D26" i="11"/>
  <c r="E26" i="11"/>
  <c r="D27" i="11"/>
  <c r="E27" i="11"/>
  <c r="D28" i="11"/>
  <c r="E28" i="11"/>
  <c r="D29" i="11"/>
  <c r="E29" i="11"/>
  <c r="D30" i="11"/>
  <c r="E30" i="11"/>
  <c r="D31" i="11"/>
  <c r="E31" i="11"/>
  <c r="D32" i="11"/>
  <c r="E32" i="11"/>
  <c r="D33" i="11"/>
  <c r="E33" i="11"/>
  <c r="D34" i="11"/>
  <c r="E34" i="11"/>
  <c r="D35" i="11"/>
  <c r="E35" i="11"/>
  <c r="E24" i="11"/>
  <c r="D24" i="11"/>
  <c r="D22" i="11"/>
  <c r="E22" i="11"/>
  <c r="D23" i="11"/>
  <c r="E23" i="11"/>
  <c r="D13" i="11"/>
  <c r="E13" i="11"/>
  <c r="D14" i="11"/>
  <c r="E14" i="11"/>
  <c r="D15" i="11"/>
  <c r="E15" i="11"/>
  <c r="D16" i="11"/>
  <c r="E16" i="11"/>
  <c r="D17" i="11"/>
  <c r="E17" i="11"/>
  <c r="D18" i="11"/>
  <c r="E18" i="11"/>
  <c r="D19" i="11"/>
  <c r="E19" i="11"/>
  <c r="D20" i="11"/>
  <c r="E20" i="11"/>
  <c r="D21" i="11"/>
  <c r="E21" i="11"/>
  <c r="E12" i="11"/>
  <c r="D12" i="11"/>
  <c r="E11" i="11"/>
  <c r="D11" i="11"/>
  <c r="D10" i="11"/>
  <c r="E10" i="11"/>
  <c r="D9" i="11"/>
  <c r="E9" i="11"/>
  <c r="D8" i="11"/>
  <c r="E8" i="11"/>
  <c r="E68" i="11"/>
  <c r="E4" i="11"/>
  <c r="E5" i="11"/>
  <c r="E7" i="11"/>
  <c r="E95" i="11"/>
  <c r="D95" i="11"/>
  <c r="E93" i="11"/>
  <c r="D93" i="11"/>
  <c r="E92" i="11"/>
  <c r="D92" i="11"/>
  <c r="D91" i="11"/>
  <c r="E91" i="11"/>
  <c r="D83" i="11"/>
  <c r="E83" i="11"/>
  <c r="D84" i="11"/>
  <c r="E84" i="11"/>
  <c r="D85" i="11"/>
  <c r="E85" i="11"/>
  <c r="D86" i="11"/>
  <c r="E86" i="11"/>
  <c r="D87" i="11"/>
  <c r="E87" i="11"/>
  <c r="D88" i="11"/>
  <c r="E88" i="11"/>
  <c r="D89" i="11"/>
  <c r="E89" i="11"/>
  <c r="D90" i="11"/>
  <c r="E90" i="11"/>
  <c r="D74" i="11"/>
  <c r="E74" i="11"/>
  <c r="D75" i="11"/>
  <c r="E75" i="11"/>
  <c r="D78" i="11"/>
  <c r="E78" i="11"/>
  <c r="D79" i="11"/>
  <c r="E79" i="11"/>
  <c r="D80" i="11"/>
  <c r="E80" i="11"/>
  <c r="D81" i="11"/>
  <c r="E81" i="11"/>
  <c r="D82" i="11"/>
  <c r="E82" i="11"/>
  <c r="E71" i="11"/>
  <c r="D71" i="11"/>
  <c r="D68" i="11" l="1"/>
  <c r="D7" i="11" l="1"/>
  <c r="D5" i="11" l="1"/>
  <c r="D4" i="11"/>
  <c r="D94" i="7" l="1"/>
</calcChain>
</file>

<file path=xl/sharedStrings.xml><?xml version="1.0" encoding="utf-8"?>
<sst xmlns="http://schemas.openxmlformats.org/spreadsheetml/2006/main" count="1983" uniqueCount="1797">
  <si>
    <t>«1 11 254»</t>
  </si>
  <si>
    <t>«2 11 972»</t>
  </si>
  <si>
    <t>«2 11 510»</t>
  </si>
  <si>
    <t>«2 11 670»</t>
  </si>
  <si>
    <t>«2 11 681»</t>
  </si>
  <si>
    <t>«2 11 542»</t>
  </si>
  <si>
    <t>«2 11 660»</t>
  </si>
  <si>
    <t>«2 11 590»</t>
  </si>
  <si>
    <t>«5 12 820»</t>
  </si>
  <si>
    <t>№</t>
  </si>
  <si>
    <t>Рамзи сатр</t>
  </si>
  <si>
    <t>Номгўи њисобњо</t>
  </si>
  <si>
    <t>«1 11 110»</t>
  </si>
  <si>
    <t>Воситаҳои пулӣ бо асъори миллӣ</t>
  </si>
  <si>
    <t>«1 11 120»</t>
  </si>
  <si>
    <t>Воситаҳои пулӣ бо асъори хориҷӣ</t>
  </si>
  <si>
    <t>«1 11 130»</t>
  </si>
  <si>
    <t>Чекҳо бо асъори миллӣ</t>
  </si>
  <si>
    <t>«1 11 140»</t>
  </si>
  <si>
    <t>Чекҳо бо асъори хориҷӣ</t>
  </si>
  <si>
    <t>«1 11 141»</t>
  </si>
  <si>
    <t>Чекҳо бо рубли русӣ</t>
  </si>
  <si>
    <t>«1 11 142»</t>
  </si>
  <si>
    <t>Чекҳо бо доллари ИМА</t>
  </si>
  <si>
    <t>«1 11 143»</t>
  </si>
  <si>
    <t xml:space="preserve">Чекҳо бо Евро  </t>
  </si>
  <si>
    <t>«1 11 210»</t>
  </si>
  <si>
    <t>ҲЯХ-и Буҷети ҷумҳуриявӣ (БҶ) бо асъори миллӣ</t>
  </si>
  <si>
    <t>«1 11 220»</t>
  </si>
  <si>
    <t>ҲЯХ-и Буҷети маҳаллӣ (БМ) бо асъори миллӣ</t>
  </si>
  <si>
    <t>«1 11 231»</t>
  </si>
  <si>
    <t>ҲЯХ-и ҳисоби махсуси БҶ бо асъори миллӣ – маблағҳои ташкилотҳои буҷетӣ (МТБ)</t>
  </si>
  <si>
    <t>«1 11 239»</t>
  </si>
  <si>
    <t>ҲЯХ-и ҳисоби махсуси БҶ бо асъори миллӣ - маблағҳои муайяннашуда (ММН)</t>
  </si>
  <si>
    <t>«1 11 241»</t>
  </si>
  <si>
    <t>ҲЯХ-и ҳисоби махсуси БМ бо асъори миллӣ – маблағҳои ташкилотҳои буҷетӣ (МТБ)</t>
  </si>
  <si>
    <t>«1 11 249»</t>
  </si>
  <si>
    <t>ҲЯХ-и ҳисоби махсуси БМ бо асъори миллӣ - маблағҳои муайяннашуда (ММН)</t>
  </si>
  <si>
    <t>«1 11 251»</t>
  </si>
  <si>
    <t>ҲЯХ-и ҳисобҳои шахсии маблағҳои махсуси БҶ ташкилотҳои буҷетӣ бо асъори миллӣ</t>
  </si>
  <si>
    <t>«1 11 252»</t>
  </si>
  <si>
    <t>ҲЯХ-и ҳисобҳои шахсии маблағҳои  махсуси БМ ташкилотҳои буҷетӣ бо асъори миллӣ</t>
  </si>
  <si>
    <t>«1 11 253»</t>
  </si>
  <si>
    <t>ҲЯХ-и ҳисобҳои шахсии маблағҳои буҷетии БҶ ташкилотҳои буҷетӣ  бо асъори миллӣ</t>
  </si>
  <si>
    <t>ҲЯХ-и ҳисобҳои шахсии маблағҳои буҷетии БМ ташкилотҳои буҷетӣ  бо асъори миллӣ</t>
  </si>
  <si>
    <t>«1 11 255»</t>
  </si>
  <si>
    <t>Њисоби ягонаи хазинадории (ЊЯХ) њисобњои шахсии маблаѓњои буљетии Агентии суѓуртаи иљтимої ва нафаќа (АСИН) бо асъои миллї</t>
  </si>
  <si>
    <t>«1 11 260»</t>
  </si>
  <si>
    <t>Ҳисоби маблағҳои  ФҲИА бо асъори миллӣ</t>
  </si>
  <si>
    <t>«1 11 270»</t>
  </si>
  <si>
    <t>Ҳисоби интиколии БҶ бо асъори миллӣ</t>
  </si>
  <si>
    <t>«1 11 280»</t>
  </si>
  <si>
    <t>Маблаѓњо барои нигоњдории дастгоњи марказии АСИН</t>
  </si>
  <si>
    <t>«1 11 310»</t>
  </si>
  <si>
    <t>ҲЯХ-и буҷети ҷумҳуриявӣ (БҶ) бо асъори хориҷӣ</t>
  </si>
  <si>
    <t>«1 11 320»</t>
  </si>
  <si>
    <t>ҲЯХ-и буҷети маҳаллӣ (БМ) бо асъори хориҷӣ</t>
  </si>
  <si>
    <t>«1 11 330»</t>
  </si>
  <si>
    <t>ҲЯХ-и  ҳисоби махсуси БҶ бо асъори хориҷӣ</t>
  </si>
  <si>
    <t>«1 11 340»</t>
  </si>
  <si>
    <t>ҲЯХ-и ҳисоби махсуси БМ бо асъори хориҷӣ</t>
  </si>
  <si>
    <t>«1 11 350»</t>
  </si>
  <si>
    <t>ҲЯХ-и ҳисобҳои шахсии ташкилотҳои буҷетӣ бо асъори хориҷӣ</t>
  </si>
  <si>
    <t>«1 11 351»</t>
  </si>
  <si>
    <t>ҲЯХ-и ҳисобҳои шахсии ташкилотҳои буҷетӣ бо асъори хориҷӣ  – БҶ</t>
  </si>
  <si>
    <t>«1 11 352»</t>
  </si>
  <si>
    <t>ҲЯХ-и ҳисобҳои шахсии ташкилотҳои буҷетӣ бо асъори хориҷӣ  – маблағҳои махсуси БҶ</t>
  </si>
  <si>
    <t>«1 11 353»</t>
  </si>
  <si>
    <t xml:space="preserve">ҲЯХ-и ҳисобҳои шахсии ташкилотҳои буҷетӣ бо асъори хориҷӣ  – маблағҳои БМ </t>
  </si>
  <si>
    <t>«1 11 354»</t>
  </si>
  <si>
    <t>ҲЯХ-и ҳисобҳои шахсии ташкилотҳои буҷетӣ бо асъори хориҷӣ  – маблағҳои махсуси БМ</t>
  </si>
  <si>
    <t>«1 11 360»</t>
  </si>
  <si>
    <t>Ҳисоби интиқолии БҶ бо асъори хориҷӣ</t>
  </si>
  <si>
    <t>«1 11 410»</t>
  </si>
  <si>
    <t xml:space="preserve">Ҳисоби маблағҳои хусусигардонӣ </t>
  </si>
  <si>
    <t>«1 11 420»</t>
  </si>
  <si>
    <t>Ҳисоби маблағҳои фонди тасбит (устуворкунӣ)</t>
  </si>
  <si>
    <t>«1 11 421»</t>
  </si>
  <si>
    <t xml:space="preserve">Ҳисоби маблағҳои захираҳо дар сохтмони иморатҳои муҳим </t>
  </si>
  <si>
    <t>«1 11 430»</t>
  </si>
  <si>
    <t>Аккредитивҳо бо асъори миллӣ</t>
  </si>
  <si>
    <t>«1 11 440»</t>
  </si>
  <si>
    <t>Ҳисоб барои нақд кардан</t>
  </si>
  <si>
    <t>«1 11 441»</t>
  </si>
  <si>
    <t>Ҳисоб барои нақд кардан БҶ</t>
  </si>
  <si>
    <t>«1 11 442»</t>
  </si>
  <si>
    <t>Ҳисоб барои нақд кардан ММ БҶ</t>
  </si>
  <si>
    <t>«1 11 443»</t>
  </si>
  <si>
    <t>Ҳисоб барои нақд кардан маблағҳо БМ</t>
  </si>
  <si>
    <t>«1 11 444»</t>
  </si>
  <si>
    <t>Ҳисоб барои нақд кардан ММ БМ</t>
  </si>
  <si>
    <t>«1 11 450»</t>
  </si>
  <si>
    <t>Дигар ҳисобҳо то муайян намудан</t>
  </si>
  <si>
    <t>«1 11 491»</t>
  </si>
  <si>
    <t xml:space="preserve">Дигар ҳисобҳои ташкилотҳои дигар - асъори миллӣ </t>
  </si>
  <si>
    <t>«1 11 492»</t>
  </si>
  <si>
    <t>Дигар ҳисобҳои ташкилотҳои буҷетӣ</t>
  </si>
  <si>
    <t>«1 11 493»</t>
  </si>
  <si>
    <t>Ҳисобҳо дар Амонатбонк барои пардохти ҷуброн ва кўмакпулӣ</t>
  </si>
  <si>
    <t>«1 11 494»</t>
  </si>
  <si>
    <t>Ҳисобҳо дар Амонатбонк барои қарздиҳии шахсҳои воқеъӣ дар асоси барномаҳои иҷтимоӣ</t>
  </si>
  <si>
    <t>«1 11 510»</t>
  </si>
  <si>
    <t>Аккредитивҳо бо асъори хориҷӣ</t>
  </si>
  <si>
    <t>«1 11 520»</t>
  </si>
  <si>
    <t>Ҳисобҳо барои нақд кардан  бо асъори хориҷӣ</t>
  </si>
  <si>
    <t>«1 11 521»</t>
  </si>
  <si>
    <t>Ҳисобҳо барои нақд кардан БҶ бо асъори хориҷӣ</t>
  </si>
  <si>
    <t>«1 11 522»</t>
  </si>
  <si>
    <t>Ҳисобҳо барои нақд кардан  ММ БҶ  бо асъори хориҷӣ</t>
  </si>
  <si>
    <t>«1 11 523»</t>
  </si>
  <si>
    <t>Ҳисобҳо барои нақд кардан  БМ  бо асъори хориҷӣ</t>
  </si>
  <si>
    <t>«1 11 524»</t>
  </si>
  <si>
    <t>Ҳисобҳо барои нақд кардан ММ  БМ  бо асъори хориҷӣ</t>
  </si>
  <si>
    <t>«1 11 591»</t>
  </si>
  <si>
    <t>Маблағҳои ташкилотҳои дигар боасъори хориҷӣ</t>
  </si>
  <si>
    <t>«1 11 592»</t>
  </si>
  <si>
    <t>Ҳисобҳои дигари ТБ бо асъори хориҷӣ</t>
  </si>
  <si>
    <t>«1 11 593»</t>
  </si>
  <si>
    <t>Ҳисобҳои ошкорнашуда бо асъори хориҷӣ</t>
  </si>
  <si>
    <t>«1 11 610»</t>
  </si>
  <si>
    <t>Воситаҳои пулии дар роҳ буда - бо асъори миллӣ</t>
  </si>
  <si>
    <t>«1 11 620»</t>
  </si>
  <si>
    <t>Воситаҳои пулии дар роҳ буда - бо асъори хориҷӣ</t>
  </si>
  <si>
    <t>«1 11 700»</t>
  </si>
  <si>
    <t>Муодилҳои воситаҳои пулӣ</t>
  </si>
  <si>
    <t>«1 11 711»</t>
  </si>
  <si>
    <t>Бонки миллии Тоҷикистон</t>
  </si>
  <si>
    <t>«1 11 712»</t>
  </si>
  <si>
    <t>Бонки амонатгузории Тоҷикистон</t>
  </si>
  <si>
    <t>«1 11 713»</t>
  </si>
  <si>
    <t>Бонки иқтисодиёти берунӣ (Внешэкономбонк)</t>
  </si>
  <si>
    <t>«1 11 714»</t>
  </si>
  <si>
    <t>Дигар бонкҳои амонатгузорӣ</t>
  </si>
  <si>
    <t>«1 11 720»</t>
  </si>
  <si>
    <t>Амонатҳои дархостӣ бо асъори хориҷӣ (то  3 моҳ)</t>
  </si>
  <si>
    <t>«1 11 721»</t>
  </si>
  <si>
    <t>«1 11 722»</t>
  </si>
  <si>
    <t>«1 11 723»</t>
  </si>
  <si>
    <t>Бонки иқтисодии берунӣ (Внешэкономбонк)</t>
  </si>
  <si>
    <t>«1 11 724»</t>
  </si>
  <si>
    <t>«1 11 730»</t>
  </si>
  <si>
    <t>Дигар маблаггузориҳои кӯтоҳмуддати бозоргир (то 3 моҳ)</t>
  </si>
  <si>
    <t>«1 11 731»</t>
  </si>
  <si>
    <t>Қоғазҳои қиматноки қарзӣ бо асъори миллӣ (то 3 моҳ)</t>
  </si>
  <si>
    <t>«1 12 100»</t>
  </si>
  <si>
    <t>Қоғазҳои қиматнок, ба ғайр аз саҳмияҳо</t>
  </si>
  <si>
    <t>«1 12 210»</t>
  </si>
  <si>
    <t>Вомҳои додашуда –бо асъори миллӣ</t>
  </si>
  <si>
    <t>«1 12 220»</t>
  </si>
  <si>
    <t>Вомҳои додашуда – бо асъори хориҷӣ</t>
  </si>
  <si>
    <t>«1 12 300»</t>
  </si>
  <si>
    <t>Саҳмияҳо</t>
  </si>
  <si>
    <t>«1 12 400»</t>
  </si>
  <si>
    <t>Захирахои техникии суғуртавӣ</t>
  </si>
  <si>
    <t>«1 12 510»</t>
  </si>
  <si>
    <t>«1 12 520»</t>
  </si>
  <si>
    <t>«1 12 530»</t>
  </si>
  <si>
    <t>Бонки иқтисодии берунӣ</t>
  </si>
  <si>
    <t>«1 12 540»</t>
  </si>
  <si>
    <t>«1 12 610»</t>
  </si>
  <si>
    <t>«1 12 620»</t>
  </si>
  <si>
    <t>«1 12 630»</t>
  </si>
  <si>
    <t>«1 12 640»</t>
  </si>
  <si>
    <t>«1 13 100»</t>
  </si>
  <si>
    <t>Ҳисобҳо барои қабул</t>
  </si>
  <si>
    <t>«1 14 100»</t>
  </si>
  <si>
    <t>Қарздориҳои дебитории марбут ба андозҳо ва қарорҳои муҷозотӣ</t>
  </si>
  <si>
    <t>«1 14 200»</t>
  </si>
  <si>
    <t>Қарздориҳои дебитории марбут ба маблағҳои интиқолӣ (трансфертҳо)</t>
  </si>
  <si>
    <t>«1 14 310»</t>
  </si>
  <si>
    <t>Қарздориҳои дебитории марбут ба амалиёти байнибуҷетӣ</t>
  </si>
  <si>
    <t>«1 14 320»</t>
  </si>
  <si>
    <t xml:space="preserve">Қарздориҳои дебитории марбут ба амалиёти байниидоравӣ </t>
  </si>
  <si>
    <t>«1 14 330»</t>
  </si>
  <si>
    <t xml:space="preserve">Қарздориҳои дебитории марбут ба амалиёти дохилиидоравӣ </t>
  </si>
  <si>
    <t>«1 14 400»</t>
  </si>
  <si>
    <t>Қарздориҳои дебиторӣ марбут ба эҳдоияхо (грантҳо)</t>
  </si>
  <si>
    <t>«1 14 510»</t>
  </si>
  <si>
    <t>Фоизҳо барои қабул – асъори миллӣ</t>
  </si>
  <si>
    <t>«1 14 520»</t>
  </si>
  <si>
    <t>Ҳаққи саҳмҳо барои қабул - асъори миллӣ</t>
  </si>
  <si>
    <t>«1 14 530»</t>
  </si>
  <si>
    <t>Фоизҳо барои қабул – асъори хориҷӣ</t>
  </si>
  <si>
    <t>«1 14 540»</t>
  </si>
  <si>
    <t>Ҳақи саҳмҳо барои қабул - асъори хориҷӣ</t>
  </si>
  <si>
    <t>«1 14 610»</t>
  </si>
  <si>
    <t>Қарздориҳои дебитории шахсҳои ҳисобдеҳ</t>
  </si>
  <si>
    <t>«1 14 620»</t>
  </si>
  <si>
    <t>Қарздориҳои дебитории ҳайати кормандон марбут ба музди меҳнат ва пардохтҳои дигар</t>
  </si>
  <si>
    <t>«1 14 630»</t>
  </si>
  <si>
    <t xml:space="preserve">Қарздориҳои дебитории марбут ба норасоиҳои ошкоршуда </t>
  </si>
  <si>
    <t>«1 14 700»</t>
  </si>
  <si>
    <t>Пардохтҳои иҷоравӣ барои қабул</t>
  </si>
  <si>
    <t>«1 14 800»</t>
  </si>
  <si>
    <t xml:space="preserve">Қисми ҷории қарздории дебитории  дарозмуддат </t>
  </si>
  <si>
    <t>«1 14 900»</t>
  </si>
  <si>
    <t>Қарздории дебиторӣ аз рӯи дигар амалиётхо</t>
  </si>
  <si>
    <t>«1 15 100»</t>
  </si>
  <si>
    <t>Пешпардохтҳои додашуда барои молхо</t>
  </si>
  <si>
    <t>«1 15 200»</t>
  </si>
  <si>
    <t>Пешпардохтҳои додашуда барои иљрои кор ва хизматрасониҳо</t>
  </si>
  <si>
    <t>«1 15 300»</t>
  </si>
  <si>
    <t>Пешпардохтҳои додашуда барои иҷора</t>
  </si>
  <si>
    <t>«1 15 400»</t>
  </si>
  <si>
    <t xml:space="preserve">Пешпардохтҳо барои  андоз </t>
  </si>
  <si>
    <t>«1 15 510»</t>
  </si>
  <si>
    <t>Пешпардохтҳои Хазинадорӣ оиди пардохдҳои ҷубронӣ, кўмакпулӣ</t>
  </si>
  <si>
    <t>«1 15 520»</t>
  </si>
  <si>
    <t>Пешпардохтҳо барои қарздиҳии шахсҳои воқеъӣ дар доираи барномаҳои иҷтимоӣ  аз ҳисоби маблағҳои БҶ.</t>
  </si>
  <si>
    <t>«1 15 900»</t>
  </si>
  <si>
    <t>Дигар пешпардохтҳои додашуда</t>
  </si>
  <si>
    <t>«1 16 100»</t>
  </si>
  <si>
    <t xml:space="preserve">Захираҳо аз рӯи  қарзҳои шубҳанок  - қарздории дебиторӣ </t>
  </si>
  <si>
    <t>«1 16 200»</t>
  </si>
  <si>
    <t>Захираҳо аз рӯи  қарзҳои шубҳанок  - дигар қарздориҳои дебиторӣ</t>
  </si>
  <si>
    <t>«1 21 110»</t>
  </si>
  <si>
    <t xml:space="preserve">Воситаҳои пулӣ бо  асъори хориҷӣ </t>
  </si>
  <si>
    <t>«1 21 120»</t>
  </si>
  <si>
    <t>Воситаҳои пулӣ бо  асъори миллӣ</t>
  </si>
  <si>
    <t>«1 21 131»</t>
  </si>
  <si>
    <t xml:space="preserve">Чекҳо бо рубли русӣ </t>
  </si>
  <si>
    <t>«1 21 132»</t>
  </si>
  <si>
    <t xml:space="preserve">Чекҳо бо доллари ИМА </t>
  </si>
  <si>
    <t>«1 21 133»</t>
  </si>
  <si>
    <t xml:space="preserve">Чекҳо бо Eвро  </t>
  </si>
  <si>
    <t>«1 21 210»</t>
  </si>
  <si>
    <t xml:space="preserve">ҲЯХ-и Буҷети ҷумхуриявӣ (БҶ) бо асъори хориҷӣ </t>
  </si>
  <si>
    <t>«1 21 220»</t>
  </si>
  <si>
    <t xml:space="preserve">ҲЯХ-и Буҷети маҳаллӣ (БМ) бо асъори хориҷӣ </t>
  </si>
  <si>
    <t>«1 21 230»</t>
  </si>
  <si>
    <t>ҲЯХ-и ҳисоби махсуси БҶ бо асъори хориҷӣ</t>
  </si>
  <si>
    <t>«1 21 240»</t>
  </si>
  <si>
    <t>«1 21 250»</t>
  </si>
  <si>
    <t>ҲЯХ-и ҳисобхои шахсии ташкилотҳои буҷетӣ бо асъори хориҷӣ</t>
  </si>
  <si>
    <t>«1 21 260»</t>
  </si>
  <si>
    <t>«1 21 310»</t>
  </si>
  <si>
    <t>«1 21 320»</t>
  </si>
  <si>
    <t>«1 21 330»</t>
  </si>
  <si>
    <t>ҲЯХ-и ҳисоби махсуси БҶ бо асъори миллӣ</t>
  </si>
  <si>
    <t>«1 21 340»</t>
  </si>
  <si>
    <t>ҲЯХ-и ҳисоби махсуси БМ бо асъори миллӣ</t>
  </si>
  <si>
    <t>«1 21 350»</t>
  </si>
  <si>
    <t>ҲЯХ-и ҳисобҳои шахсии ташкилотҳои буҷетӣ бо асъори миллӣ</t>
  </si>
  <si>
    <t>«1 21 360»</t>
  </si>
  <si>
    <t>Ҳисоби маблағҳои ФҲИА бо асъори миллӣ</t>
  </si>
  <si>
    <t>«1 21 390»</t>
  </si>
  <si>
    <t>Ҳисоби интиқолии БҶ бо асъори миллӣ</t>
  </si>
  <si>
    <t>«1 21 400»</t>
  </si>
  <si>
    <t>Ҳисобҳои дигар  бо асъори хориҷӣ</t>
  </si>
  <si>
    <t>«1 21 500»</t>
  </si>
  <si>
    <t>Воситаҳои пулии дар роҳ буда</t>
  </si>
  <si>
    <t>«1 21 610»</t>
  </si>
  <si>
    <t>Амонатҳои дархостӣ бо асъори миллӣ (то 3 моҳ)</t>
  </si>
  <si>
    <t>«1 21 620»</t>
  </si>
  <si>
    <t xml:space="preserve">Супурдаҳо ба маблағгузориҳои кӯтоҳмуддати бозоргир (то 3 моҳ) </t>
  </si>
  <si>
    <t>«1 21 621»</t>
  </si>
  <si>
    <t xml:space="preserve">Қоғазҳои қиматнок, ба ғайр аз саҳмияҳо </t>
  </si>
  <si>
    <t>«1 22 100»</t>
  </si>
  <si>
    <t xml:space="preserve">Қоғазҳои қиматнок ба ғайр саҳмияҳо </t>
  </si>
  <si>
    <t>«1 22 200»</t>
  </si>
  <si>
    <t>Вомҳои додашуда</t>
  </si>
  <si>
    <t>«1 22 300»</t>
  </si>
  <si>
    <t>«1 22 400»</t>
  </si>
  <si>
    <t>Захираҳои  техникии суғуртавӣ</t>
  </si>
  <si>
    <t>«1 22 510»</t>
  </si>
  <si>
    <t>Амонатҳои бонкии мӯҳлатнок бо асъори миллӣ</t>
  </si>
  <si>
    <t>«1 22 520»</t>
  </si>
  <si>
    <t>Амонатҳои бонкии мӯҳлатнок бо асъори хориҷӣ</t>
  </si>
  <si>
    <t>«1 23 100»</t>
  </si>
  <si>
    <t>«1 24 100»</t>
  </si>
  <si>
    <t xml:space="preserve">Қарздориҳои марбут ба андозу қарорҳои муҷозотӣ </t>
  </si>
  <si>
    <t>«1 24 200»</t>
  </si>
  <si>
    <t xml:space="preserve">Қарздориҳои марбут ба интиқолот </t>
  </si>
  <si>
    <t>«1 24 300»</t>
  </si>
  <si>
    <t>Қарздориҳои марбут ба эҳдоияҳо (грантҳо)</t>
  </si>
  <si>
    <t>«1 24 400»</t>
  </si>
  <si>
    <t>Фоизҳо барои қабул</t>
  </si>
  <si>
    <t>«1 24 500»</t>
  </si>
  <si>
    <t>Суди саҳмияҳо барои қабул</t>
  </si>
  <si>
    <t>«1 24 600»</t>
  </si>
  <si>
    <t>«1 24 700»</t>
  </si>
  <si>
    <t xml:space="preserve">Қисми ҷории қарздории дебитории дарозмуддат </t>
  </si>
  <si>
    <t>«1 24 900»</t>
  </si>
  <si>
    <t>Қарздории дебиторӣ аз рӯи  дигар амалиётҳо</t>
  </si>
  <si>
    <t>«1 25 100»</t>
  </si>
  <si>
    <t>Пешпардохтҳои додашуда барои молҳо</t>
  </si>
  <si>
    <t>«1 25 200»</t>
  </si>
  <si>
    <t>«1 25 300»</t>
  </si>
  <si>
    <t>Пешпардохтҳо барои иҷора</t>
  </si>
  <si>
    <t>«1 25 400»</t>
  </si>
  <si>
    <t xml:space="preserve">Пешпардохтҳо барои  андозҳо </t>
  </si>
  <si>
    <t>«1 25 900»</t>
  </si>
  <si>
    <t>Дигар пешпардохтҳо</t>
  </si>
  <si>
    <t>«1 26 100»</t>
  </si>
  <si>
    <t xml:space="preserve">Захираҳо бароиқкарзҳои шубҳанок  - қарздории дебиторӣ </t>
  </si>
  <si>
    <t>«1 26 200»</t>
  </si>
  <si>
    <t>Захираҳо барои қарзҳои шубҳанок  - дигар қарздориҳои дебиторӣ</t>
  </si>
  <si>
    <t>«1 31 110»</t>
  </si>
  <si>
    <t xml:space="preserve">Захираҳои эҳтиётии энергия </t>
  </si>
  <si>
    <t>«1 31 120»</t>
  </si>
  <si>
    <t xml:space="preserve">Захираҳои озуқаворӣ </t>
  </si>
  <si>
    <t>«1 31 210»</t>
  </si>
  <si>
    <t>Молҳои канселярӣ ва асбобҳои таълимӣ</t>
  </si>
  <si>
    <t>«1 31 211»</t>
  </si>
  <si>
    <t>Молҳои хоҷагӣ ва инвентар</t>
  </si>
  <si>
    <t>«1 31 212»</t>
  </si>
  <si>
    <t>Маводҳои хароҷотӣ</t>
  </si>
  <si>
    <t>«1 31 213»</t>
  </si>
  <si>
    <t>Инвентари мулоим ва либоси расмӣ</t>
  </si>
  <si>
    <t>«1 31 214»</t>
  </si>
  <si>
    <t>Маҳсулоти хўрока</t>
  </si>
  <si>
    <t>«1 31 215»</t>
  </si>
  <si>
    <t>Доруворӣ, воситаҳои ҷароҳатбандӣ</t>
  </si>
  <si>
    <t>«1 31 216»</t>
  </si>
  <si>
    <t>Сўзишворӣ-равғанҳои молиданӣ</t>
  </si>
  <si>
    <t>«1 31 217»</t>
  </si>
  <si>
    <t>Сўзишворӣ дар ҳисоботдиҳии ронандагон</t>
  </si>
  <si>
    <t>«1 31 218»</t>
  </si>
  <si>
    <t xml:space="preserve">Истифодабарии захираҳои молӣ-маводӣ (ЗММ) </t>
  </si>
  <si>
    <t>«1 31 219»</t>
  </si>
  <si>
    <t xml:space="preserve">Молҳои дигаре, ки ба дараҷаҳои дигар мансубнадошта </t>
  </si>
  <si>
    <t>«1 31 220»</t>
  </si>
  <si>
    <t xml:space="preserve">Истеҳсолоти нотамом </t>
  </si>
  <si>
    <t>«1 31 230»</t>
  </si>
  <si>
    <t xml:space="preserve">Маҳсулоти тайёр </t>
  </si>
  <si>
    <t>«1 31 240»</t>
  </si>
  <si>
    <t xml:space="preserve">Молҳо барои фурӯши дубора </t>
  </si>
  <si>
    <t>«1 31 250»</t>
  </si>
  <si>
    <t>Дороиҳои биологии истеъмолӣ</t>
  </si>
  <si>
    <t>«1 41 110»</t>
  </si>
  <si>
    <t>Биноҳои истиқоматӣ (истиқоматгоҳ)</t>
  </si>
  <si>
    <t>«1 41 120»</t>
  </si>
  <si>
    <t xml:space="preserve">Биноҳои ғайриистиқоматӣ </t>
  </si>
  <si>
    <t>«1 41 210»</t>
  </si>
  <si>
    <t xml:space="preserve">Иншоот </t>
  </si>
  <si>
    <t>«1 41 220»</t>
  </si>
  <si>
    <t>Дастгоҳҳои таҳвилдиҳӣ</t>
  </si>
  <si>
    <t>«1 41 310»</t>
  </si>
  <si>
    <t xml:space="preserve">Таҷҳизоти нақлиётӣ </t>
  </si>
  <si>
    <t>«1 41 320»</t>
  </si>
  <si>
    <t>Дигар мошинҳо ва таҷҳизот</t>
  </si>
  <si>
    <t>«1 41 400»</t>
  </si>
  <si>
    <t>Мебел, лавозимоти идора,асбобҳо, инвентари истеҳсолӣ ва хоҷагидорӣ</t>
  </si>
  <si>
    <t>«1 41 500»</t>
  </si>
  <si>
    <t xml:space="preserve">Ободонии замин </t>
  </si>
  <si>
    <t>«1 42 110»</t>
  </si>
  <si>
    <t xml:space="preserve">Фарсудашавии ҷамъшуда - биноҳои истиқоматӣ </t>
  </si>
  <si>
    <t>«1 42 120»</t>
  </si>
  <si>
    <t xml:space="preserve">Фарсудашавии ҷамъшуда - биноҳои ғайриистиқоматӣ </t>
  </si>
  <si>
    <t>«1 42 210»</t>
  </si>
  <si>
    <t xml:space="preserve">Фарсудашавии ҷамъшуда - иншоот </t>
  </si>
  <si>
    <t>«1 42 220»</t>
  </si>
  <si>
    <t>«1 42 310»</t>
  </si>
  <si>
    <t>Фарсудашавии ҷамъшуда - таҷҳизоти нақлиётӣ</t>
  </si>
  <si>
    <t>«1 42 320»</t>
  </si>
  <si>
    <t xml:space="preserve">Фарсудашавии ҷамъшуда - дигар мошинҳо ва таҷҳизот </t>
  </si>
  <si>
    <t>«1 42 400»</t>
  </si>
  <si>
    <t>Фарсудашавии ҷамъшуда – Мебел, лавозимоти идора, асбобҳо, инвентари истеҳсолӣ ва хоҷагидорӣ</t>
  </si>
  <si>
    <t>«1 42 500»</t>
  </si>
  <si>
    <t xml:space="preserve">Фарсудашавии ҷамъшуда - ободонии замин </t>
  </si>
  <si>
    <t>«1 43 110»</t>
  </si>
  <si>
    <t>«1 43 120»</t>
  </si>
  <si>
    <t>«1 43 210»</t>
  </si>
  <si>
    <t>«1 43 220»</t>
  </si>
  <si>
    <t>«1 43 310»</t>
  </si>
  <si>
    <t>«1 43 320»</t>
  </si>
  <si>
    <t>«1 43 400»</t>
  </si>
  <si>
    <t>«1 44 110»</t>
  </si>
  <si>
    <t xml:space="preserve">Биноҳои истиқоматӣ </t>
  </si>
  <si>
    <t>«1 44 120»</t>
  </si>
  <si>
    <t>«1 44 210»</t>
  </si>
  <si>
    <t>«1 44 220»</t>
  </si>
  <si>
    <t>«1 44 300»</t>
  </si>
  <si>
    <t>Замин</t>
  </si>
  <si>
    <t>«1 45 110»</t>
  </si>
  <si>
    <t>Фарсудашавии ҷамъшудаи амволи ғайриманқули сармоягузоришуда  - биноҳои истиқоматӣ</t>
  </si>
  <si>
    <t>«1 45 120»</t>
  </si>
  <si>
    <t>Фарсудашавии ҷамъшудаи амволи гайриманқули сармоягузоришуда  - биноҳои ғайриистиқоматӣ</t>
  </si>
  <si>
    <t>«1 45 210»</t>
  </si>
  <si>
    <t>Фарсудашавии ҷамъшудаи амволи ғайриманқули сармоягузоришуда  - иншоот</t>
  </si>
  <si>
    <t>«1 45 220»</t>
  </si>
  <si>
    <t xml:space="preserve">Фарсудашавии ҷамъшудаи амволи ғайриманқули сармоягузоришуда  - дастгоҳҳои таҳвилдиҳӣ </t>
  </si>
  <si>
    <t>«1 46 110»</t>
  </si>
  <si>
    <t>Сохтмони нотамом -биноҳои истиқоматӣ</t>
  </si>
  <si>
    <t>«1 46 120»</t>
  </si>
  <si>
    <t xml:space="preserve">Сохтмони нотамом -биноҳои ғайриистиқоматӣ </t>
  </si>
  <si>
    <t>«1 46 200»</t>
  </si>
  <si>
    <t xml:space="preserve">Сохтмони нотамом - иншоот </t>
  </si>
  <si>
    <t>«1 46 310»</t>
  </si>
  <si>
    <t>«1 46 320»</t>
  </si>
  <si>
    <t>«1 47 100»</t>
  </si>
  <si>
    <t xml:space="preserve">Ҳайвонот (маҳсулдиҳанда) </t>
  </si>
  <si>
    <t>«1 47 200»</t>
  </si>
  <si>
    <t xml:space="preserve">Растаниҳо (самарадиҳанда) </t>
  </si>
  <si>
    <t>«1 47 900»</t>
  </si>
  <si>
    <t xml:space="preserve">Дигар дороиҳои биологӣ </t>
  </si>
  <si>
    <t>«1 48 000»</t>
  </si>
  <si>
    <t xml:space="preserve">Истеҳлоки ҷамъшудаи дороиҳои биологӣ </t>
  </si>
  <si>
    <t>«1 49 100»</t>
  </si>
  <si>
    <t>Таъминоти барномавӣ</t>
  </si>
  <si>
    <t>«1 49 200»</t>
  </si>
  <si>
    <t>Веб-сайтҳо</t>
  </si>
  <si>
    <t>«1 49 300»</t>
  </si>
  <si>
    <t>Патентҳо</t>
  </si>
  <si>
    <t>«1 49 400»</t>
  </si>
  <si>
    <t>Ҳуқуқи муаллифӣ</t>
  </si>
  <si>
    <t>«1 49 500»</t>
  </si>
  <si>
    <t xml:space="preserve">Осори адабиёт ва ҳунар </t>
  </si>
  <si>
    <t>«1 49 900»</t>
  </si>
  <si>
    <t>Дигар дороиҳои ғайримоддӣ</t>
  </si>
  <si>
    <t>«1 50 000»</t>
  </si>
  <si>
    <t xml:space="preserve">Истеҳлоки ҷамъшудаи дороиҳои ғайримоддӣ </t>
  </si>
  <si>
    <t>«1 51 100»</t>
  </si>
  <si>
    <t>«1 51 200»</t>
  </si>
  <si>
    <t xml:space="preserve">Захираҳои зеризаминӣ </t>
  </si>
  <si>
    <t>«1 51 300»</t>
  </si>
  <si>
    <t>Дигар захираҳои табиӣ</t>
  </si>
  <si>
    <t>«1 51 410»</t>
  </si>
  <si>
    <t>Гудвилл</t>
  </si>
  <si>
    <t>«1 51 420»</t>
  </si>
  <si>
    <t>Патентҳо, иҷозатномаҳо, франшизаҳо</t>
  </si>
  <si>
    <t>«1 51 430»</t>
  </si>
  <si>
    <t>«1 51 440»</t>
  </si>
  <si>
    <t>Тамғаҳои  тиҷоратӣ</t>
  </si>
  <si>
    <t>«1 51 450»</t>
  </si>
  <si>
    <t>Ҳуқуқи истифодаи замин</t>
  </si>
  <si>
    <t>«1 51 460»</t>
  </si>
  <si>
    <t>Ҳуқуқи коркарди конҳо ва истихроҷи маъданҳои фоиданок</t>
  </si>
  <si>
    <t>«1 51 470»</t>
  </si>
  <si>
    <t>«1 51 490»</t>
  </si>
  <si>
    <t>Дигар дороиҳои ғайримоддии истеҳсолнашуда</t>
  </si>
  <si>
    <t>«1 51 500»</t>
  </si>
  <si>
    <t xml:space="preserve">Фонди китобхонавӣ </t>
  </si>
  <si>
    <t>«1 52 100»</t>
  </si>
  <si>
    <t>Сарфшавии ҷамъшудаи захираҳои зеризаминӣ</t>
  </si>
  <si>
    <t>«1 52 200»</t>
  </si>
  <si>
    <t>Сарфшавии ҷамъшудаи дигар дороиҳои табиӣ</t>
  </si>
  <si>
    <t>«1 54 100»</t>
  </si>
  <si>
    <t xml:space="preserve">Сангҳо ва фулузоти қиматбаҳо </t>
  </si>
  <si>
    <t>«1 54 200»</t>
  </si>
  <si>
    <t xml:space="preserve">Тасвирҳо, муҷассамаҳо ва ғ. </t>
  </si>
  <si>
    <t>«1 54 300»</t>
  </si>
  <si>
    <t xml:space="preserve">Маснуоти заргарӣ </t>
  </si>
  <si>
    <t>«1 54 900»</t>
  </si>
  <si>
    <t>Дигар боигариҳо</t>
  </si>
  <si>
    <t>«1 55 111»</t>
  </si>
  <si>
    <t xml:space="preserve">Беарзишшавии ҷамъшуда-биноҳои истиқоматӣ </t>
  </si>
  <si>
    <t>«1 55 112»</t>
  </si>
  <si>
    <t xml:space="preserve">Беарзишшавии ҷамъшуда-биноҳои ғайриистиқоматӣ </t>
  </si>
  <si>
    <t>«1 55 120»</t>
  </si>
  <si>
    <t xml:space="preserve">Беарзишшавии ҷамъшуда-иншоот </t>
  </si>
  <si>
    <t>«1 55 130»</t>
  </si>
  <si>
    <t>Беарзишшавии ҷамъшуда- мошинҳо ва таҷҳизот</t>
  </si>
  <si>
    <t>«1 55 131»</t>
  </si>
  <si>
    <t>Беарзишшавии ҷамъшуда- таҷҳизоти нақлиётӣ</t>
  </si>
  <si>
    <t>«1 55 132»</t>
  </si>
  <si>
    <t>Беарзишшавии ҷамъшуда- дигар мошинҳо ва таҷҳизот</t>
  </si>
  <si>
    <t>«1 55 140»</t>
  </si>
  <si>
    <t>Беарзишшавии ҷамъшуда- мебел, лавозимоти идора, асбобҳо, инвентари истеҳсолӣ ва хоҷагидорӣ</t>
  </si>
  <si>
    <t>«1 55 150»</t>
  </si>
  <si>
    <t xml:space="preserve">Беарзишшавии ҷамъшуда-ободонии замин </t>
  </si>
  <si>
    <t>«1 55 210»</t>
  </si>
  <si>
    <t xml:space="preserve">Беарзишшавии ҷамъшуда-амволи гайриманқули сармоягузоришуда-биноҳо </t>
  </si>
  <si>
    <t>«1 55 211»</t>
  </si>
  <si>
    <t xml:space="preserve">Беарзишшавии ҷамъшуда-амволи гайриманқули сармоягузоришуда-биноҳои истиқоматӣ </t>
  </si>
  <si>
    <t>«1 55 212»</t>
  </si>
  <si>
    <t>Беарзишшавии ҷамъшуда-амволи гайриманқули сармоягузоришуда-биноҳои гайриистиқоматӣ</t>
  </si>
  <si>
    <t>«1 55 220»</t>
  </si>
  <si>
    <t xml:space="preserve">Беарзишшавии ҷамъшуда - амволи гайриманқули сармоягузоришуда - замин </t>
  </si>
  <si>
    <t>«1 55 310»</t>
  </si>
  <si>
    <t xml:space="preserve">Беарзишшавии ҷамъшуда - сохтмони нотамом-биноҳо </t>
  </si>
  <si>
    <t>«1 55 311»</t>
  </si>
  <si>
    <t>Беарзишшавии ҷамъшуда - сохтмони нотамом-биноҳои истиқоматӣ</t>
  </si>
  <si>
    <t>«1 55 312»</t>
  </si>
  <si>
    <t xml:space="preserve">Беарзишшавии ҷамъшуда - сохтмони нотамом-биноҳои гайриистиқоматӣ </t>
  </si>
  <si>
    <t>«1 55 320»</t>
  </si>
  <si>
    <t xml:space="preserve">Беарзишшавии ҷамъшуда - сохтмони нотамом-иншоот </t>
  </si>
  <si>
    <t>«1 55 330»</t>
  </si>
  <si>
    <t xml:space="preserve">Беарзишшавии ҷамъшуда - сохтмони нотамом-мошинҳо ва таҷҳизот </t>
  </si>
  <si>
    <t>«1 55 331»</t>
  </si>
  <si>
    <t>Беарзишшавии ҷамъшуда - сохтмони нотамом-таҷҳизоти нақлиётӣ</t>
  </si>
  <si>
    <t>«1 55 332»</t>
  </si>
  <si>
    <t>Беарзишшавии ҷамъшуда - сохтмони нотамом - дигар мошинҳо ва таҷҳизот</t>
  </si>
  <si>
    <t>«1 55 340»</t>
  </si>
  <si>
    <t xml:space="preserve">Беарзишшавии ҷамъшуда - сохтмони нотамом- ободонии замин </t>
  </si>
  <si>
    <t>«1 55 410»</t>
  </si>
  <si>
    <t xml:space="preserve">Беарзишшавии ҷамъшуда-ҳайвонот(маҳсулдиҳанда) </t>
  </si>
  <si>
    <t>«1 55 420»</t>
  </si>
  <si>
    <t xml:space="preserve">Беарзишшавии ҷамъшуда-растанихо(самарадиҳанда) </t>
  </si>
  <si>
    <t>«1 55 490»</t>
  </si>
  <si>
    <t>Беарзишшавии ҷамъшуда - дигар дороиҳои биологӣ</t>
  </si>
  <si>
    <t>«1 55 510»</t>
  </si>
  <si>
    <t xml:space="preserve">Беарзишшавии ҷамъшуда - таъминоти барномавӣ </t>
  </si>
  <si>
    <t>«1 55 520»</t>
  </si>
  <si>
    <t>Беарзишшавии ҷамъшуда - веб-сайтҳо</t>
  </si>
  <si>
    <t>«1 55 530»</t>
  </si>
  <si>
    <t>Беарзишшавии ҷамъшуда - патентҳо</t>
  </si>
  <si>
    <t>«1 55 540»</t>
  </si>
  <si>
    <t>Беарзишшавии ҷамъшуда - ҳуқуқи муаллифӣ</t>
  </si>
  <si>
    <t>«1 55 550»</t>
  </si>
  <si>
    <t xml:space="preserve">Беарзишшавии ҷамъшуда - осори адабиёт ва ҳунар </t>
  </si>
  <si>
    <t>«1 55 590»</t>
  </si>
  <si>
    <t>Беарзишшавии ҷамъшуда - дигар дороиҳои ғайримоддӣ</t>
  </si>
  <si>
    <t>«1 55 610»</t>
  </si>
  <si>
    <t xml:space="preserve">Беарзишшавии ҷамъшудаи замин </t>
  </si>
  <si>
    <t>«1 55 620»</t>
  </si>
  <si>
    <t xml:space="preserve">Беарзишшавии ҷамъшудаи захираҳои зеризаминӣ </t>
  </si>
  <si>
    <t>«1 55 630»</t>
  </si>
  <si>
    <t>Беарзишшавии ҷамъшудаи дигар дороиҳои табиӣ</t>
  </si>
  <si>
    <t>«1 55 640»</t>
  </si>
  <si>
    <t xml:space="preserve">Беарзишшавии ҷамъшудаи дороиҳои истеҳсолнашудаи ғайримоддӣ </t>
  </si>
  <si>
    <t>«1 55 641»</t>
  </si>
  <si>
    <t>Беарзишшавии ҷамъшудаи гудвилл</t>
  </si>
  <si>
    <t>«1 55 642»</t>
  </si>
  <si>
    <t>Беарзишшавии ҷамъшудаи патентҳо, иҷозатномаҳо, франшизаҳо</t>
  </si>
  <si>
    <t>«1 55 643»</t>
  </si>
  <si>
    <t>Беарзишшавии ҷамъшудаи ҳуқуқи муаллифӣ</t>
  </si>
  <si>
    <t>«1 55 644»</t>
  </si>
  <si>
    <t xml:space="preserve">Беарзишшавии ҷамъшудаи тамғаҳои  тиҷоратӣ </t>
  </si>
  <si>
    <t>«1 55 645»</t>
  </si>
  <si>
    <t xml:space="preserve">Беарзишшавии ҷамъшудаи ҳуқуқи истифодаи замин </t>
  </si>
  <si>
    <t>«1 55 690»</t>
  </si>
  <si>
    <t xml:space="preserve">Беарзишшавии ҷамъшудаи дигар дороиҳои истеҳсолинашудаи ғайримоддӣ </t>
  </si>
  <si>
    <t>«1 61 100»</t>
  </si>
  <si>
    <t>«1 61 210»</t>
  </si>
  <si>
    <t>Вомҳои бо асъори миллӣ додашуда</t>
  </si>
  <si>
    <t>«1 61 220»</t>
  </si>
  <si>
    <t xml:space="preserve">Вомҳои бо асъори хориҷӣ додашуда </t>
  </si>
  <si>
    <t>«1 61 310»</t>
  </si>
  <si>
    <t xml:space="preserve">Сармоягузориҳо ба корхонаҳои фаръӣ (назоратшаванда) </t>
  </si>
  <si>
    <t>«1 61 320»</t>
  </si>
  <si>
    <t xml:space="preserve">Сармоягузориҳо ба фаъолияти муштарак </t>
  </si>
  <si>
    <t>«1 61 330»</t>
  </si>
  <si>
    <t xml:space="preserve">Сармоягузориҳо ба корхонаҳои муттаҳидшуда </t>
  </si>
  <si>
    <t>«1 61 400»</t>
  </si>
  <si>
    <t>Захираҳои техникии суғуртавӣ</t>
  </si>
  <si>
    <t>«1 61 510»</t>
  </si>
  <si>
    <t>Бонки миллии Точикистон</t>
  </si>
  <si>
    <t>«1 61 520»</t>
  </si>
  <si>
    <t>Бонки амонатгузории Точикистон</t>
  </si>
  <si>
    <t>«1 61 530»</t>
  </si>
  <si>
    <t xml:space="preserve">Бонки иқтисодии берунӣ </t>
  </si>
  <si>
    <t>«1 61 540»</t>
  </si>
  <si>
    <t>«1 61 610»</t>
  </si>
  <si>
    <t>«1 61 620»</t>
  </si>
  <si>
    <t>«1 61 630»</t>
  </si>
  <si>
    <t>«1 61 640»</t>
  </si>
  <si>
    <t>«1 62 100»</t>
  </si>
  <si>
    <t xml:space="preserve">Дисконтҳо (Тахфифҳои)  марбут ба қоғазҳои қиматнок, ба ғайр аз саҳмияҳо </t>
  </si>
  <si>
    <t>«1 62 200»</t>
  </si>
  <si>
    <t xml:space="preserve">Подошҳои (изофапулиҳои) марбут ба қоғазҳои қиматнок, ба ғайр аз саҳмияҳо </t>
  </si>
  <si>
    <t>«1 63 100»</t>
  </si>
  <si>
    <t>Қарздории дебитории дарозмуддати харидорон ва фармоишгарон</t>
  </si>
  <si>
    <t>« 1 63 200»</t>
  </si>
  <si>
    <t>Қарздории дебитории дарозмуддати марбут ба иҷораи молиявӣ</t>
  </si>
  <si>
    <t>«1 63 910»</t>
  </si>
  <si>
    <t>Қарздории дебитории  марбут ба амалиёти байнибуљетї</t>
  </si>
  <si>
    <t>«1 63 920»</t>
  </si>
  <si>
    <t>Қарздории дебитории   марбут ба амалиёти байниидоравї</t>
  </si>
  <si>
    <t>«1 63 930»</t>
  </si>
  <si>
    <t>Қарздории дебитории  марбут ба амалиёти дохилиидоравї</t>
  </si>
  <si>
    <t>«1 71 100»</t>
  </si>
  <si>
    <t>«1 71 200»</t>
  </si>
  <si>
    <t xml:space="preserve">Вомҳои додашуда </t>
  </si>
  <si>
    <t>«1 71 310»</t>
  </si>
  <si>
    <t>«1 71 320»</t>
  </si>
  <si>
    <t>«1 71 330»</t>
  </si>
  <si>
    <t>«1 71 390»</t>
  </si>
  <si>
    <t>Сармоягузориҳо ба дигар корхонаҳо</t>
  </si>
  <si>
    <t>«1 71 400»</t>
  </si>
  <si>
    <t xml:space="preserve">Захираҳои техникии суғуртавӣ </t>
  </si>
  <si>
    <t>«1 71 500»</t>
  </si>
  <si>
    <t>«1 72 100»</t>
  </si>
  <si>
    <t xml:space="preserve">Тахфифҳои марбут ба қоғазҳои қиматнок, ба ғайр аз саҳмияҳо </t>
  </si>
  <si>
    <t>«1 72 200»</t>
  </si>
  <si>
    <t xml:space="preserve">Подошҳои (изофанархҳои) марбут ба қоғазҳои қиматнок, ба ғайр аз саҳмияҳо </t>
  </si>
  <si>
    <t>«1 73 100»</t>
  </si>
  <si>
    <t>«1 73 200»</t>
  </si>
  <si>
    <t xml:space="preserve">Қарздории дебитории дарозмуддати марбут ба иҷораи молиявӣ </t>
  </si>
  <si>
    <t>«1 73 900»</t>
  </si>
  <si>
    <t>Дигар қарздории дебитории дарозмуддат</t>
  </si>
  <si>
    <t>«1 74 000»</t>
  </si>
  <si>
    <t xml:space="preserve">Захираҳо барои қарзҳои шубҳанок - қарздории дебитории дарозмуддат </t>
  </si>
  <si>
    <t>«1 80 100»</t>
  </si>
  <si>
    <t>Тиллои пулӣ</t>
  </si>
  <si>
    <t>«1 80 200»</t>
  </si>
  <si>
    <t>ҲМҚ (СДР)</t>
  </si>
  <si>
    <t>«2 11 110»</t>
  </si>
  <si>
    <t>Ҳисобҳо барои пардохт</t>
  </si>
  <si>
    <t>«2 11 120»</t>
  </si>
  <si>
    <t xml:space="preserve">Пешпардохтҳои гирифташуда </t>
  </si>
  <si>
    <t>«2 11 121»</t>
  </si>
  <si>
    <t xml:space="preserve">Воридотҳои пешпардохтӣ аз хадамоти гумрук  </t>
  </si>
  <si>
    <t>«2 11 122»</t>
  </si>
  <si>
    <t xml:space="preserve">Рамзҳои нокушодаи пардохтҳои ТАМБ “Амонатбанк” </t>
  </si>
  <si>
    <t>«2 11 129»</t>
  </si>
  <si>
    <t>Дигар пешпардохтњои гирифташуда</t>
  </si>
  <si>
    <t>«2 11 130»</t>
  </si>
  <si>
    <t>Амонатњои бозгаштшаванда</t>
  </si>
  <si>
    <t>«2 11 140»</t>
  </si>
  <si>
    <t xml:space="preserve">Ҳисобҳо барои пардохт- маблағҳои баргардондашудаи ТБ мутобиқи иттилоотҳои нодуруст нишондодашуда  </t>
  </si>
  <si>
    <t>«2 11 190»</t>
  </si>
  <si>
    <t>Дигар ҳисобҳо барои пардохт</t>
  </si>
  <si>
    <t>«2 11 210»</t>
  </si>
  <si>
    <t>«2 11 211»</t>
  </si>
  <si>
    <t>Васиқаҳои хазинадорӣ</t>
  </si>
  <si>
    <t>«2 11 212»</t>
  </si>
  <si>
    <t>Вомбаргҳои давлатӣ</t>
  </si>
  <si>
    <t>«2 11 221»</t>
  </si>
  <si>
    <t xml:space="preserve">Аз Бонки миллии Ҷумҳурии Тоҷикистон </t>
  </si>
  <si>
    <t>«2 11 230»</t>
  </si>
  <si>
    <t>Дигар қарзҳо ва  вомҳо</t>
  </si>
  <si>
    <t>«2 11 240»</t>
  </si>
  <si>
    <t xml:space="preserve">Қисми ҷории ӯҳдадориҳои қарзии дарозмуддат </t>
  </si>
  <si>
    <t>«2 11 250»</t>
  </si>
  <si>
    <t xml:space="preserve">Мусоидаҳои (қарзҳои)  аз буҷети ҷумҳуриявӣ гирифташуда </t>
  </si>
  <si>
    <t>«2 11 260»</t>
  </si>
  <si>
    <t xml:space="preserve">Мусоидаҳои (қарзҳои) аз буҷети маҳаллӣ гирифташуда </t>
  </si>
  <si>
    <t>«2 11 300»</t>
  </si>
  <si>
    <t>Дисконтҳои (тахфифҳо) марбут ба вомбаргҳо ва васиқаҳо</t>
  </si>
  <si>
    <t>«2 11 400»</t>
  </si>
  <si>
    <t xml:space="preserve">Подошҳои (изофанархҳои) марбут ба вомбаргҳо </t>
  </si>
  <si>
    <t>Музди меҳнат барои пардохт</t>
  </si>
  <si>
    <t>«2 11 520»</t>
  </si>
  <si>
    <t>Суди саҳмияҳо барои пардохт</t>
  </si>
  <si>
    <t>«2 11 530»</t>
  </si>
  <si>
    <t>Фоизҳо барои пардохт</t>
  </si>
  <si>
    <t>«2 11 540»</t>
  </si>
  <si>
    <t>Аъзоҳаққии иттифоқи касаба барои пардохт</t>
  </si>
  <si>
    <t>«2 11 541»</t>
  </si>
  <si>
    <t xml:space="preserve">Аъзоҳаққии иттифоқи касаба барои пардохт - ба иттифоқи касабаи ҷумҳуриявӣ </t>
  </si>
  <si>
    <t xml:space="preserve">Аъзоҳаққии иттифоқи касаба барои пардохт - ба иттифоқи касабаи муассиса </t>
  </si>
  <si>
    <t>«2 11 550»</t>
  </si>
  <si>
    <t>Депонентҳо барои пардохт</t>
  </si>
  <si>
    <t>«2 11 560»</t>
  </si>
  <si>
    <t>Идрорпулиҳо барои пардохт</t>
  </si>
  <si>
    <t>«2 11 570»</t>
  </si>
  <si>
    <t>Рухсатпулиҳо барои пардохт</t>
  </si>
  <si>
    <t>«2 11 580»</t>
  </si>
  <si>
    <t>Уњдадорињои њисобкардашуда ба шахсони њисоботдењ</t>
  </si>
  <si>
    <t>Дигар ӯҳдадориҳои ҳисобкардашуда</t>
  </si>
  <si>
    <t>«2 11 591»</t>
  </si>
  <si>
    <t xml:space="preserve">Ўҳдадориҳо оиди баргардондани андозҳо ба андозсупорандагон </t>
  </si>
  <si>
    <t>«2 11 599»</t>
  </si>
  <si>
    <t>«2 11 610»</t>
  </si>
  <si>
    <t>Андоз аз фоида барои пардохт</t>
  </si>
  <si>
    <t>«2 11 620»</t>
  </si>
  <si>
    <t xml:space="preserve">Андоз аз арзиши иловашуда барои пардохт </t>
  </si>
  <si>
    <t>«2 11 630»</t>
  </si>
  <si>
    <t xml:space="preserve">Андози аксизӣ барои пардохт </t>
  </si>
  <si>
    <t>«2 11 640»</t>
  </si>
  <si>
    <t xml:space="preserve">Андоз аз амволи гайриманқул барои пардохт </t>
  </si>
  <si>
    <t>«2 11 650»</t>
  </si>
  <si>
    <t>Андоз аз истифодабарандагони роҳҳои автомобилгард барои пардохт</t>
  </si>
  <si>
    <t>Андози иҷтимоӣ аз корманд барои пардохт</t>
  </si>
  <si>
    <t>Андоз аз даромади шахсони воқеӣ барои пардохт</t>
  </si>
  <si>
    <t>«2 11 680»</t>
  </si>
  <si>
    <r>
      <t>Андози и</t>
    </r>
    <r>
      <rPr>
        <sz val="10"/>
        <color rgb="FF000000"/>
        <rFont val="Times New Roman"/>
        <family val="1"/>
        <charset val="204"/>
      </rPr>
      <t>ҷ</t>
    </r>
    <r>
      <rPr>
        <sz val="10"/>
        <color rgb="FF000000"/>
        <rFont val="Times New Roman Tj"/>
        <charset val="204"/>
      </rPr>
      <t>тимо</t>
    </r>
    <r>
      <rPr>
        <sz val="10"/>
        <color rgb="FF000000"/>
        <rFont val="Times New Roman"/>
        <family val="1"/>
        <charset val="204"/>
      </rPr>
      <t>ӣ</t>
    </r>
    <r>
      <rPr>
        <sz val="10"/>
        <color rgb="FF000000"/>
        <rFont val="Times New Roman Tj"/>
        <charset val="204"/>
      </rPr>
      <t xml:space="preserve"> аз корфармо барои пардохт</t>
    </r>
  </si>
  <si>
    <t>1.4% шифохонагӣ-курортӣ</t>
  </si>
  <si>
    <t>«2 11 690»</t>
  </si>
  <si>
    <t>Дигар андозҳо барои пардохт</t>
  </si>
  <si>
    <t>«2 11 710»</t>
  </si>
  <si>
    <t>Захираҳо барои хизматрасонии кафолатӣ</t>
  </si>
  <si>
    <t>«2 11 720»</t>
  </si>
  <si>
    <t xml:space="preserve">Захираҳои марбут ба даъвоҳои судӣ </t>
  </si>
  <si>
    <t>«2 11 730»</t>
  </si>
  <si>
    <t>Уњдадорї дар назди фонди муътадилгардонї</t>
  </si>
  <si>
    <t>«2 11 740»</t>
  </si>
  <si>
    <t>Уњдадорї дар назди фонди сохтмони объектњои муњим</t>
  </si>
  <si>
    <t>«2 11 750»</t>
  </si>
  <si>
    <t>Захирањои кутоњмуддат оид ба пардохти нафаќа</t>
  </si>
  <si>
    <t>«2 11 790»</t>
  </si>
  <si>
    <t>Дигар захираҳо</t>
  </si>
  <si>
    <t>«2 11 900»</t>
  </si>
  <si>
    <t>Дигар ӯҳдадориҳои кутоҳмуддат</t>
  </si>
  <si>
    <t>«2 11 910»</t>
  </si>
  <si>
    <t>Ӯҳдадориҳои марбут ба иҷора</t>
  </si>
  <si>
    <t>«2 11 920»</t>
  </si>
  <si>
    <t>Қисми ҷории ӯҳдадориҳои марбут ба иҷораи молиявӣ</t>
  </si>
  <si>
    <t>«2 11 930»</t>
  </si>
  <si>
    <t xml:space="preserve">Қарздории кредитории кутоҳмуддати байнибуҷетӣ </t>
  </si>
  <si>
    <t>«2 11 940»</t>
  </si>
  <si>
    <t>Қарздории кредитории кутоҳмуддати байниидоравӣ</t>
  </si>
  <si>
    <t>«2 11 950»</t>
  </si>
  <si>
    <t xml:space="preserve">Қарздории кредитории кутоҳмуддати дохилиидоравӣ </t>
  </si>
  <si>
    <t>«2 11 961»</t>
  </si>
  <si>
    <t>Ӯҳдадории Хазинадорӣ аз рӯи интиқоли маблағҳои  пулӣ ба ташкилотҳои буҷетӣ- БҶ</t>
  </si>
  <si>
    <t>«2 11 962»</t>
  </si>
  <si>
    <t xml:space="preserve">Ӯҳдадории Хазинадорӣ аз рӯи интиқоли маблағҳои  пулӣ ба ташкилотҳои буҷетӣ – маблағҳои махсус </t>
  </si>
  <si>
    <t>«2 11 963»</t>
  </si>
  <si>
    <t>Ӯҳдадории Хазинадорӣ дар назди БМ – маблағҳои буҷетӣ– асъори миллӣ</t>
  </si>
  <si>
    <t>«2 11 964»</t>
  </si>
  <si>
    <t>Ӯҳдадории Хазинадорӣ дар назди БМ – маблағҳои махсус– асъори миллӣ</t>
  </si>
  <si>
    <t>«2 11 965»</t>
  </si>
  <si>
    <t>Ӯҳдадории Хазинадорӣ дар назди ташкилотҳои дигар– асъори миллӣ</t>
  </si>
  <si>
    <t>«2 11 966»</t>
  </si>
  <si>
    <t>Уњдадории АСИН аз руи интиќоли маблаѓњои пулї ба ташкилотњои буљетї</t>
  </si>
  <si>
    <t>«2 11 971»</t>
  </si>
  <si>
    <t>Даромадҳои давраҳои оянда (ӯҳдадорӣ дар назди буҷети ҷумҳуриявӣ)</t>
  </si>
  <si>
    <t>Даромадҳои давраҳои оянда  (ӯҳдадорӣ дар назди буҷети маҳаллӣ)</t>
  </si>
  <si>
    <t>«2 11 973»</t>
  </si>
  <si>
    <t>Даромадҳои давраҳои оянда  (ӯҳдадорӣ дар назди АСИН)</t>
  </si>
  <si>
    <t>«2 11 981»</t>
  </si>
  <si>
    <t>Ӯҳдадориҳое, ки аз ҳисоби маблағҳои аз фондҳои ғайрибуҷетии давлатӣ ба даст омада, пардохт мешаванд</t>
  </si>
  <si>
    <t>«2 11 982»</t>
  </si>
  <si>
    <t>Ӯҳдадориҳое, ки аз хисоби маблағҳои   фонди суғуртаи  ҳатмии тиббӣ, пардохт мешаванд</t>
  </si>
  <si>
    <t>«2 11 983»</t>
  </si>
  <si>
    <t xml:space="preserve">Ӯҳдадориҳои марбут ба кумакрасонии иҷтимоӣ ба аҳолӣ </t>
  </si>
  <si>
    <t>«2 11 991»</t>
  </si>
  <si>
    <t>Ӯҳдадориҳои марбут ба пардохти ҷуброн ва кўмакрасонӣаз ҳисоби маблағҳои БҶ</t>
  </si>
  <si>
    <t>«2 11 992»</t>
  </si>
  <si>
    <t>Ӯҳдадориҳои марбут бақарздиҳӣ дар доираи барномаҳои кўмаки иҷтимоӣ аз ҳисоби маблағҳои БҶ</t>
  </si>
  <si>
    <t>«2 11 999»</t>
  </si>
  <si>
    <t>Дигар ӯҳдадориҳои кӯтоҳмуддат</t>
  </si>
  <si>
    <t>«2 12 110»</t>
  </si>
  <si>
    <t>«2 12 120»</t>
  </si>
  <si>
    <t>«2 12 190»</t>
  </si>
  <si>
    <t>«2 12 210»</t>
  </si>
  <si>
    <t>«2 12 220»</t>
  </si>
  <si>
    <t xml:space="preserve">Қарзҳои бонкӣ ва вомҳо </t>
  </si>
  <si>
    <t>«2 12 221»</t>
  </si>
  <si>
    <t>Аз Бонки умумиҷаҳонӣ</t>
  </si>
  <si>
    <t>«2 12 222»</t>
  </si>
  <si>
    <t>Аз Бонки рушди Осиё</t>
  </si>
  <si>
    <t>«2 12 223»</t>
  </si>
  <si>
    <t>Аз Иттиҳоди Аврупо</t>
  </si>
  <si>
    <t>«2 12 231»</t>
  </si>
  <si>
    <t>Иқтибоси хориҷӣ аз дигар ташкилотҳои байналмиллалӣ</t>
  </si>
  <si>
    <t>«2 12 232»</t>
  </si>
  <si>
    <t xml:space="preserve">Иқтибоси хориҷӣ аз дигар мамлакатҳо </t>
  </si>
  <si>
    <t>«2 12 233»</t>
  </si>
  <si>
    <t xml:space="preserve">Иқтибоси хориҷӣ аз таҳвилгарон </t>
  </si>
  <si>
    <t>«2 12 240»</t>
  </si>
  <si>
    <t xml:space="preserve">Қисми ҷории ӯҳдадориҳои дарозмуддати  қарзӣ </t>
  </si>
  <si>
    <t>«2 12 250»</t>
  </si>
  <si>
    <t xml:space="preserve">Мусоидаҳои (қарзҳои) аз буҷети  ҷумҳуриявӣ гирифташуда </t>
  </si>
  <si>
    <t>«2 12 300»</t>
  </si>
  <si>
    <t>Дисконтҳои (тахфифҳои)  марбут ба вомбаргҳо ва васиқаҳо</t>
  </si>
  <si>
    <t>«2 12 400»</t>
  </si>
  <si>
    <t>«2 12 510»</t>
  </si>
  <si>
    <t>«2 12 520»</t>
  </si>
  <si>
    <t>«2 12 530»</t>
  </si>
  <si>
    <t>«2 12 540»</t>
  </si>
  <si>
    <t>«2 12 590»</t>
  </si>
  <si>
    <t>«2 12 910»</t>
  </si>
  <si>
    <t>«2 12 920»</t>
  </si>
  <si>
    <t>«2 12 931»</t>
  </si>
  <si>
    <t>Даромади давраҳои оянда (ӯҳдадорӣ дар назди Ҳукуматҳои давлатҳои хориҷӣ)</t>
  </si>
  <si>
    <t>«2 12 932»</t>
  </si>
  <si>
    <t>Даромади давраҳои оянда (ӯҳдадорӣ дар назди ташкилотҳои байналмилалӣ)</t>
  </si>
  <si>
    <t>«2 12 990»</t>
  </si>
  <si>
    <t>Дигар  ӯҳдадориҳои кутоҳмуддат</t>
  </si>
  <si>
    <t>«2 12 900»</t>
  </si>
  <si>
    <t>Ўҳдадории Хазинадорӣ оиди гузаронидани маблағҳои пулӣ</t>
  </si>
  <si>
    <t>«2 13 961»</t>
  </si>
  <si>
    <t>Ӯҳдадории Хазинадорӣ дар назди ташкилотҳо– асъори хориҷӣ</t>
  </si>
  <si>
    <t>«2 21 110»</t>
  </si>
  <si>
    <t>«2 21 120»</t>
  </si>
  <si>
    <t>«2 21 210»</t>
  </si>
  <si>
    <t>«2 21 310»</t>
  </si>
  <si>
    <t>Дигар намудҳои вомҳои давлатӣ</t>
  </si>
  <si>
    <t>«2 21 400»</t>
  </si>
  <si>
    <t xml:space="preserve">Ӯҳдадориҳои марбут ба иҷораи молиявӣ </t>
  </si>
  <si>
    <t>«2 21 510»</t>
  </si>
  <si>
    <t>«2 21 520»</t>
  </si>
  <si>
    <t>Захирањои дарозмуддат оид ба пардохти нафаќа</t>
  </si>
  <si>
    <t>«2 21 600»</t>
  </si>
  <si>
    <t>Дисконтҳои (тахфифҳои) марбут ба вомбаргҳо ва васиқаҳо</t>
  </si>
  <si>
    <t>«2 21 700»</t>
  </si>
  <si>
    <t>«2 21 810»</t>
  </si>
  <si>
    <t>«2 21 820»</t>
  </si>
  <si>
    <t>«2 21 890»</t>
  </si>
  <si>
    <t xml:space="preserve">Дигар даромадҳои давраҳои оянда </t>
  </si>
  <si>
    <t>«2 21 900»</t>
  </si>
  <si>
    <t>Дигар ӯҳдадориҳои дарозмуддат</t>
  </si>
  <si>
    <t>«2 21 910»</t>
  </si>
  <si>
    <t>Ҳисоби тақлилӣ ба пешпардохтҳои Хазинадорӣ дар доираи барномаҳои иҷтимоӣ мартуб ба қарздиҳӣ</t>
  </si>
  <si>
    <t>«2 21 930»</t>
  </si>
  <si>
    <t>Ќарзњои кредитории дарозмуддати байнибуљетї</t>
  </si>
  <si>
    <t>«2 21 940»</t>
  </si>
  <si>
    <t>Ќарзњои кредитории дарозмуддати байниидоравї</t>
  </si>
  <si>
    <t>«2 21 950»</t>
  </si>
  <si>
    <t>Ќарзњои кредитории дарозмуддати дохилиидоравї</t>
  </si>
  <si>
    <t>«2 22 100»</t>
  </si>
  <si>
    <t>«2 22 221»</t>
  </si>
  <si>
    <t>«2 22 222»</t>
  </si>
  <si>
    <t>«2 22 223»</t>
  </si>
  <si>
    <t>«2 22 300»</t>
  </si>
  <si>
    <t>«2 22 310»</t>
  </si>
  <si>
    <t>«2 22 320»</t>
  </si>
  <si>
    <t>«2 22 330»</t>
  </si>
  <si>
    <t>«2 22 400»</t>
  </si>
  <si>
    <t>«2 22 500»</t>
  </si>
  <si>
    <t>«2 22 600»</t>
  </si>
  <si>
    <t>Тахфифҳои марбут ба вомбаргҳо ва васиқаҳо</t>
  </si>
  <si>
    <t>«2 22 700»</t>
  </si>
  <si>
    <t>«2 22 810»</t>
  </si>
  <si>
    <t>Даромадҳои давраҳои оянда (ӯҳдадорӣ дар назди Ҳукуматҳои давлатҳои хориҷӣ)</t>
  </si>
  <si>
    <t>«2 22 820»</t>
  </si>
  <si>
    <t>Даромадҳои давраҳои оянда  (ӯҳдадорӣ дар назди ташкилотҳои байналмилалӣ)</t>
  </si>
  <si>
    <t>«2 22 890»</t>
  </si>
  <si>
    <t>«2 22 900»</t>
  </si>
  <si>
    <t>«2 23 110»</t>
  </si>
  <si>
    <t>Ҳисоби интиқолӣ  – Маблағҳои буҷетии БҶ бо асъори миллӣ</t>
  </si>
  <si>
    <t>«2 23 120»</t>
  </si>
  <si>
    <t>Ҳисоби интиқолӣ  - маблағҳои махсуси БҶ бо асъори миллӣ – маблағҳои ташкилотҳои буҷетӣ (МТБ)</t>
  </si>
  <si>
    <t>«2 23 130»</t>
  </si>
  <si>
    <t>Ҳисоби интиқолӣ  - маблағҳои буҷети маҳаллӣ (БМ) бо асъори миллӣ</t>
  </si>
  <si>
    <t>«2 23 140»</t>
  </si>
  <si>
    <t>Ҳисоби  интиқолӣ - маблағҳои махсуси БМ бо асъори миллӣ – маблағҳои ташкилотҳои буҷетӣ (МТБ)</t>
  </si>
  <si>
    <t>«2 23 150»</t>
  </si>
  <si>
    <t>Ҳисоби  интиқолӣ - маблағҳои махсуси БҶ бо асъори миллӣ – маблағҳои ошкорнашуда (МО)</t>
  </si>
  <si>
    <t>«2 23 160»</t>
  </si>
  <si>
    <t>Ҳисоби  интиқолӣ  - маблағҳои махсуси БМ бо асъори миллӣ – маблағҳои ошкорнашуда (МО)</t>
  </si>
  <si>
    <t>«2 23 170»</t>
  </si>
  <si>
    <t>Ҳисоби  интиқолӣ  – маблағҳои фонди ҳифзи иҷтимоии аҳолӣ (ФҲИА)</t>
  </si>
  <si>
    <t>«2 23 180»</t>
  </si>
  <si>
    <t>Ҳисоби  интиқолӣ - ҳисобҳои дигар то муайян кардан</t>
  </si>
  <si>
    <t>«2 23 190»</t>
  </si>
  <si>
    <t>Ҳисоби  интиқолӣ - маблағҳои хусусигардонӣ</t>
  </si>
  <si>
    <t>«2 23 191»</t>
  </si>
  <si>
    <t>Ҳисоби  интиқолӣ  – воридотҳои дигар (маблағҳои муштариён)</t>
  </si>
  <si>
    <t>«2 23 192»</t>
  </si>
  <si>
    <t xml:space="preserve">Ҳисоби  интиқолӣ  – маблағҳои фонди тасбит (устуворкунӣ) </t>
  </si>
  <si>
    <t>«2 23 193»</t>
  </si>
  <si>
    <t xml:space="preserve">Ҳисоби  интиқолӣ – Маблағҳои захиравӣ барои сохтмони иншоотҳои муҳим </t>
  </si>
  <si>
    <t>«2 24 100»</t>
  </si>
  <si>
    <t>Маблағҳои бюҷети ҷумҳуриявӣ (БҶ) бо асъори хориҷӣ</t>
  </si>
  <si>
    <t>«2 24 200»</t>
  </si>
  <si>
    <t>Маблағҳои махсуси БҶ бо асъори хориҷӣ</t>
  </si>
  <si>
    <t>«2 24 300»</t>
  </si>
  <si>
    <t>Маблағҳои бюҷети маҳалӣ (БМ) бо асъори хориҷӣ</t>
  </si>
  <si>
    <t>«2 24 400»</t>
  </si>
  <si>
    <t>Маблағҳои махсуси БМ бо асъори хориҷӣ</t>
  </si>
  <si>
    <t>«3 10 110»</t>
  </si>
  <si>
    <t>Маблағҳои махсуси ҷудокардашуда ба фондҳои асосӣ</t>
  </si>
  <si>
    <t>«3 10 120»</t>
  </si>
  <si>
    <t>Маблағҳои махсуси ҷудокардашуда ба  дороиҳои ғайримоддӣ</t>
  </si>
  <si>
    <t>«3 10 130»</t>
  </si>
  <si>
    <t>Маблағҳои махсуси ҷудокардашуда ба сохтмони асосӣ</t>
  </si>
  <si>
    <t>«3 10 140»</t>
  </si>
  <si>
    <t>Маблағҳои махсуси ҷудокардашуда ба дигар мақсадҳо</t>
  </si>
  <si>
    <t>«3 10 210»</t>
  </si>
  <si>
    <t>Маблағҳои махсуси ҷудокарданашуда ба фондҳои асосӣ</t>
  </si>
  <si>
    <t>«3 10 220»</t>
  </si>
  <si>
    <t>Маблағҳои махсуси ҷудокарданашуда ба  дороиҳои ғайримоддӣ</t>
  </si>
  <si>
    <t>«3 10 230»</t>
  </si>
  <si>
    <t>Маблағҳои махсуси ҷудокарданашуда ба сохтмони асосӣ</t>
  </si>
  <si>
    <t>«3 10 310»</t>
  </si>
  <si>
    <t>Саҳмияҳои оддӣ</t>
  </si>
  <si>
    <t>«3 10 320»</t>
  </si>
  <si>
    <t xml:space="preserve">Саҳмияҳои имтиёзнок </t>
  </si>
  <si>
    <t>«3 10 330»</t>
  </si>
  <si>
    <t xml:space="preserve">Сармояи барилова пардохтшуда </t>
  </si>
  <si>
    <t>«3 10 340»</t>
  </si>
  <si>
    <t>Саҳмияҳои худии бозхаридшуда</t>
  </si>
  <si>
    <t>«3 21 110»</t>
  </si>
  <si>
    <t xml:space="preserve"> Фоида (зарар)-и ҳолдингӣ - биноҳои истиқоматӣ</t>
  </si>
  <si>
    <t>«3 21 120»</t>
  </si>
  <si>
    <t xml:space="preserve"> Фоида (зарар)-и ҳолдингӣ - биноҳои ғайриистиқоматӣ</t>
  </si>
  <si>
    <t>«3 21 210»</t>
  </si>
  <si>
    <t xml:space="preserve"> Фоида (зарар)-и ҳолдингӣ - иншоот</t>
  </si>
  <si>
    <t>«3 21 220»</t>
  </si>
  <si>
    <t xml:space="preserve"> Фоида (зарар)-и ҳолдингӣ - дастгоҳҳои таҳвилдиҳӣ</t>
  </si>
  <si>
    <t>«3 21 310»</t>
  </si>
  <si>
    <t xml:space="preserve"> Фоида (зарар)-и ҳолдингӣ - таҷҳизоти нақлиётӣ</t>
  </si>
  <si>
    <t>«3 21 320»</t>
  </si>
  <si>
    <t xml:space="preserve"> Фоида (зарар)-и ҳолдингӣ - дигар мошинҳо ва таҷҳизот</t>
  </si>
  <si>
    <t>«3 21 400»</t>
  </si>
  <si>
    <t xml:space="preserve"> Фоида (зарар)-и ҳолдингӣ – мебел, лавозимот, асбобҳо, инвентари истеҳсолӣ ва хоҷагидорӣ</t>
  </si>
  <si>
    <t>«3 21 500»</t>
  </si>
  <si>
    <t xml:space="preserve"> Фоида (зарар)-и ҳолдингӣ -  дороиҳои биологӣ</t>
  </si>
  <si>
    <t>«3 21 600»</t>
  </si>
  <si>
    <t xml:space="preserve"> Фоида (зарар)-и ҳолдингӣ -  дороиҳои ғайримоддӣ</t>
  </si>
  <si>
    <t>«3 22 100»</t>
  </si>
  <si>
    <t xml:space="preserve"> Фоида (зарар)-и ҳолдингӣ - захираҳои стратегӣ</t>
  </si>
  <si>
    <t>«3 22 200»</t>
  </si>
  <si>
    <t xml:space="preserve"> Фоида (зарар)-и ҳолдингӣ - дигар захираҳо</t>
  </si>
  <si>
    <t>«3 24 100»</t>
  </si>
  <si>
    <t xml:space="preserve"> Фоида (зарар)-и ҳолдингӣ - замин</t>
  </si>
  <si>
    <t>«3 24 200»</t>
  </si>
  <si>
    <t xml:space="preserve"> Фоида (зарар)-и ҳолдингӣ - захираҳои зеризаминӣ</t>
  </si>
  <si>
    <t>«3 24 300»</t>
  </si>
  <si>
    <t xml:space="preserve"> Фоида (зарар)-и ҳолдингӣ - дигар захираҳои табиӣ</t>
  </si>
  <si>
    <t>«3 24 400»</t>
  </si>
  <si>
    <t xml:space="preserve"> Фоида (зарар)-и ҳолдингӣ - дороиҳои ғайримоддии истеҳсолнашуда</t>
  </si>
  <si>
    <t>«3 25 110»</t>
  </si>
  <si>
    <t xml:space="preserve"> Фоида (зарар)-и ҳолдингӣ - қоғазҳои қиматнок, ба ғайр аз саҳмияҳо</t>
  </si>
  <si>
    <t>«3 25 120»</t>
  </si>
  <si>
    <t xml:space="preserve"> Фоида (зарар)-и ҳолдингӣ - саҳмияҳо ва дигар шакли иштирок дар сармоя</t>
  </si>
  <si>
    <t>«3 25 210»</t>
  </si>
  <si>
    <t>«3 25 220»</t>
  </si>
  <si>
    <t>«3 25 230»</t>
  </si>
  <si>
    <t xml:space="preserve"> Фоида (зарар)-и ҳолдингӣ - захираҳои техникии суғуртавӣ </t>
  </si>
  <si>
    <t>«3 26 100»</t>
  </si>
  <si>
    <t xml:space="preserve"> Фоида (зарар)-и ҳолдингӣ - Тиллои пулӣ</t>
  </si>
  <si>
    <t>«3 26 200»</t>
  </si>
  <si>
    <t xml:space="preserve"> Фоида (зарар)-и ҳолдингӣ – ҲМҚ (СДР)</t>
  </si>
  <si>
    <t>«3 27 110»</t>
  </si>
  <si>
    <t>«3 27 210»</t>
  </si>
  <si>
    <t>«3 27 220»</t>
  </si>
  <si>
    <t>«3 27 230»</t>
  </si>
  <si>
    <t xml:space="preserve"> Фоида (зарар)-и ҳолдингӣ - ӯҳдадориҳои марбут бо иҷораи молиявӣ</t>
  </si>
  <si>
    <t>«3 31 110»</t>
  </si>
  <si>
    <t>Дигар тағйиротҳо дар ҳаҷм - биноҳои истиқоматӣ</t>
  </si>
  <si>
    <t>«3 31 120»</t>
  </si>
  <si>
    <t>Дигар тағйиротҳо дар ҳаҷм - биноҳои ғайриистиқоматӣ</t>
  </si>
  <si>
    <t>«3 31 210»</t>
  </si>
  <si>
    <t>Дигар тағйиротҳо дар ҳаҷм - иншоот</t>
  </si>
  <si>
    <t>«3 31 220»</t>
  </si>
  <si>
    <t>Дигар тағйиротҳо дар ҳаҷм - дастгоҳҳои таҳвилдиҳӣ</t>
  </si>
  <si>
    <t>«3 31 310»</t>
  </si>
  <si>
    <t>Дигар тағйиротҳо дар ҳаҷм - таҷҳизоти нақлиётӣ</t>
  </si>
  <si>
    <t>«3 31 320»</t>
  </si>
  <si>
    <t>Дигар тағйиротҳо дар ҳаҷм - дигар мошинҳо ва таҷҳизот</t>
  </si>
  <si>
    <t>«3 31 400»</t>
  </si>
  <si>
    <t>Дигар тағйиротҳо дар ҳаҷм – мебел,  лавозимоти идоравӣ, асбобҳо, инвентари истеҳсолӣ ва хоҷагидорӣ</t>
  </si>
  <si>
    <t>«3 31 500»</t>
  </si>
  <si>
    <t>Дигар тағйиротҳо дар ҳаҷм - дороиҳои биологӣ</t>
  </si>
  <si>
    <t>«3 31 600»</t>
  </si>
  <si>
    <t>Дигар тағйиротҳо дар ҳаҷм - дороиҳои ғайримоддӣ</t>
  </si>
  <si>
    <t>«3 32 100»</t>
  </si>
  <si>
    <t>Дигар тағйиротҳо дар ҳаҷм - захираҳои стратегӣ</t>
  </si>
  <si>
    <t>«3 32 200»</t>
  </si>
  <si>
    <t>Дигар тағйиротҳо дар ҳаҷм - дигар захираҳо</t>
  </si>
  <si>
    <t>«3 34 100»</t>
  </si>
  <si>
    <t>Дигар тағйиротҳо дар ҳаҷм - замин</t>
  </si>
  <si>
    <t>«3 34 200»</t>
  </si>
  <si>
    <t>Дигар тағйиротҳо дар ҳаҷм - захираҳои зеризаминӣ</t>
  </si>
  <si>
    <t>«3 34 300»</t>
  </si>
  <si>
    <t>Дигар тағйиротҳо дар ҳаҷм - дигар захираҳои табиӣ</t>
  </si>
  <si>
    <t>«3 34 400»</t>
  </si>
  <si>
    <t>Дигар тағйиротҳо дар ҳаҷм - дороиҳои ғайримоддии истеҳсолнашуда</t>
  </si>
  <si>
    <t>«3 36 110»</t>
  </si>
  <si>
    <t>Дигар тағйиротҳо дар ҳаҷм - қоғазҳои қиматнок, ба ғайр аз саҳмияҳо</t>
  </si>
  <si>
    <t>«3 36 120»</t>
  </si>
  <si>
    <t>Дигар тағйиротҳо дар ҳаҷм - саҳмияҳо ва дигар шакли иштирок дар сармоя</t>
  </si>
  <si>
    <t>«3 36 210»</t>
  </si>
  <si>
    <t>«3 36 220»</t>
  </si>
  <si>
    <t>Дигар тағйиротҳо дар ҳаҷм - Саҳмияҳо ва дигар шакли иштирок дар сармоя</t>
  </si>
  <si>
    <t>«3 36 230»</t>
  </si>
  <si>
    <t xml:space="preserve">Дигар тағйиротҳо дар ҳаҷм -  захираҳои техникии суғуртавӣ </t>
  </si>
  <si>
    <t>«3 37 100»</t>
  </si>
  <si>
    <t>Дигар тағйиротҳо дар ҳаҷм - Тиллои пулӣ</t>
  </si>
  <si>
    <t>«3 37 200»</t>
  </si>
  <si>
    <t>Дигар тағйиротҳо дар ҳаҷм – ҲМҚ (СДР)</t>
  </si>
  <si>
    <t>«3 38 110»</t>
  </si>
  <si>
    <t>«3 38 120»</t>
  </si>
  <si>
    <t>«3 38 210»</t>
  </si>
  <si>
    <t>«3 38 220»</t>
  </si>
  <si>
    <t>«3 50 100»</t>
  </si>
  <si>
    <t xml:space="preserve">Фонди  тасбит (устуворкунӣ) </t>
  </si>
  <si>
    <t>«3 50 110»</t>
  </si>
  <si>
    <t>Захира барои сохтмони иншоотҳои муҳим</t>
  </si>
  <si>
    <t>«3 60 100»</t>
  </si>
  <si>
    <t>Фоида (зарар)-и тақсимнашудаи давраи ҳисоботӣ</t>
  </si>
  <si>
    <t>«3 60 200»</t>
  </si>
  <si>
    <t>Фоида (зарар)-и тақсимнашудаи давраҳои гузашта</t>
  </si>
  <si>
    <t>«3 70 000»</t>
  </si>
  <si>
    <t xml:space="preserve"> Ҳиссаи ақаллият</t>
  </si>
  <si>
    <t>«4 11 110»</t>
  </si>
  <si>
    <t>Андоз аз суди саҳмияҳои шахсони воқеӣ, ки аз  манбаи пардохт нигоҳ дошта мешавад</t>
  </si>
  <si>
    <t>«4 11 120»</t>
  </si>
  <si>
    <t>Андоз аз фоизҳои шахсони воқеӣ, ки аз  манбаи пардохт нигоҳ дошта мешавад</t>
  </si>
  <si>
    <t>«4 11 130»</t>
  </si>
  <si>
    <t xml:space="preserve">Андоз аз даромади соҳибкорони инфиродӣ </t>
  </si>
  <si>
    <t>«4 11 140»</t>
  </si>
  <si>
    <t xml:space="preserve">Андози ҳадди ақалл аз соҳибкорони инфиродӣ </t>
  </si>
  <si>
    <t>«4 11 150»</t>
  </si>
  <si>
    <t xml:space="preserve">Андоз аз даромади  шахсони воқеии кироякор </t>
  </si>
  <si>
    <t>«4 11 151»</t>
  </si>
  <si>
    <t>Андоз аз даромади  шахсони воқеии кироякор-ташкилотҳои бюҷетӣ</t>
  </si>
  <si>
    <t>«4 11 160»</t>
  </si>
  <si>
    <t xml:space="preserve">Андоз аз даромадҳои ғайримуқимон - шахсони воқеӣ </t>
  </si>
  <si>
    <t>«4 11 170»</t>
  </si>
  <si>
    <t>Андоз аз соҳибкорони инфиродӣ, ки бо низоми  соддакардашуда пардохт карда мешавад</t>
  </si>
  <si>
    <t>«4 11 180»</t>
  </si>
  <si>
    <t>Андоз аз соҳибкорони инфиродӣ -  истифодабарандагони роҳҳои автомобилгард</t>
  </si>
  <si>
    <t>«4 11 190»</t>
  </si>
  <si>
    <t>Дигар андозҳое, ки  аз даромадҳо, фоида ва афзоиши сармояи шахсони воқеӣ нигох дошта мешаванд</t>
  </si>
  <si>
    <t>«4 11 210»</t>
  </si>
  <si>
    <t xml:space="preserve">Андоз аз фоидаи шахсони ҳуқуқӣ </t>
  </si>
  <si>
    <t>«4 11 220»</t>
  </si>
  <si>
    <t>Андози ҳадди ақалл аз шахсони ҳуқуқӣ ва воқеӣ</t>
  </si>
  <si>
    <t>«4 11 230»</t>
  </si>
  <si>
    <t>Андоз аз суди саҳмияҳои шахсони ҳуқуқӣ, ки аз манбаи пардохт нигоҳ дошта мешавад</t>
  </si>
  <si>
    <t>«4 11 240»</t>
  </si>
  <si>
    <t>Андоз аз фоизҳои  шахсони ҳуқуқӣ, ки аз  манбаи пардохт  нигоҳ дошта мешавад</t>
  </si>
  <si>
    <t>«4 11 250»</t>
  </si>
  <si>
    <t>Андоз аз шахсони ҳуқуқӣ, ки бо низоми  соддакардашуда  пардохт карда мешавад</t>
  </si>
  <si>
    <t>«4 11 260»</t>
  </si>
  <si>
    <t>Андоз аз шахсони ҳуқуқӣ - истифодабарандагони роҳҳои автомобилгард</t>
  </si>
  <si>
    <t>«4 11 261»</t>
  </si>
  <si>
    <t>Андоз аз шахсони ҳуқуқӣ - истифодабарандагони роҳҳои автомобилгарди муқимӣ (резидент)</t>
  </si>
  <si>
    <t>«4 11 262»</t>
  </si>
  <si>
    <t>Андоз аз шахсони ҳуқуқӣ - истифодабарандагони роҳҳои автомобилгарди ғайримуқими (ғайрирезидент)</t>
  </si>
  <si>
    <t>«4 11 270»</t>
  </si>
  <si>
    <t>Системаи махсуси андозбандӣ барои сохибкории алоқаманд бо бозӣ</t>
  </si>
  <si>
    <t>«4 11 290»</t>
  </si>
  <si>
    <t>Дигар андозҳое, ки  аз даромадҳо, фоида ва афзоиши сармояи шахсони ҳуқуқӣ нигоҳ дошта мешаванд</t>
  </si>
  <si>
    <t>«4 11 300»</t>
  </si>
  <si>
    <t>Аз маблағҳои махсус (фоидаи воқеъии хазинавии ташкилотҳои тобеъ аз фурўши молҳо ва хизматрасониҳо ) фоида аз фаъолияти соҳибкории ташкилотҳои буҷетӣ.</t>
  </si>
  <si>
    <t>«4 12 110»</t>
  </si>
  <si>
    <t xml:space="preserve">Андоз аз амволи ғайриманқули шахсони воқеӣ </t>
  </si>
  <si>
    <t>«4 12 120»</t>
  </si>
  <si>
    <t xml:space="preserve">Андоз аз амволи ғайриманқули шахсони ҳуқуқӣ </t>
  </si>
  <si>
    <t>«4 12 210»</t>
  </si>
  <si>
    <t xml:space="preserve">Андоз аз замини шахсони воқеӣ </t>
  </si>
  <si>
    <t>«4 12 220»</t>
  </si>
  <si>
    <t xml:space="preserve">Андоз аз замини шахсони ҳуқуқӣ </t>
  </si>
  <si>
    <t>«4 12 310»</t>
  </si>
  <si>
    <t xml:space="preserve">Андози ягонабароиистеҳсолкунандагони маҳсулоти кишоварзӣ </t>
  </si>
  <si>
    <t>«4 12 320»</t>
  </si>
  <si>
    <t xml:space="preserve">Андози ягона аз хоҷагиҳои деҳқонӣ (фермерӣ) </t>
  </si>
  <si>
    <t>«4 12 390»</t>
  </si>
  <si>
    <t xml:space="preserve">Андози ягона аз  дигар шахсон </t>
  </si>
  <si>
    <t>«4 12 510»</t>
  </si>
  <si>
    <t>Андоз аз нақлиёти шахсони воқеӣ ва  шахсони ҳуқуқӣ</t>
  </si>
  <si>
    <t>«4 12 900»</t>
  </si>
  <si>
    <t xml:space="preserve">Дигар андозҳо аз моликият </t>
  </si>
  <si>
    <t>«4 13 110»</t>
  </si>
  <si>
    <t xml:space="preserve">ААИ-и дохилӣ </t>
  </si>
  <si>
    <t>«4 13 120»</t>
  </si>
  <si>
    <t>ААИ-и берунӣ</t>
  </si>
  <si>
    <t>«4 13 121»</t>
  </si>
  <si>
    <t xml:space="preserve">ААИ-и ногоҳдошташаванда касршаванда тибки аслиандозбандии бозгард аз гайримукимон </t>
  </si>
  <si>
    <t>«4 13 210»</t>
  </si>
  <si>
    <t xml:space="preserve">Андоз аз фурӯши нахи пахта </t>
  </si>
  <si>
    <t>«4 13 220»</t>
  </si>
  <si>
    <t xml:space="preserve">Андоз аз фурӯши алюминий </t>
  </si>
  <si>
    <t>«4 13 230»</t>
  </si>
  <si>
    <t xml:space="preserve">Андоз барои маҳсулоти коркарди алюминий </t>
  </si>
  <si>
    <t>«4 13 310»</t>
  </si>
  <si>
    <t xml:space="preserve">Аксизҳои  дохилӣ </t>
  </si>
  <si>
    <t>«4 13 311»</t>
  </si>
  <si>
    <t>Спирт (дигаргуншуда -денатуратсияшуда)</t>
  </si>
  <si>
    <t>«4 13 312»</t>
  </si>
  <si>
    <t xml:space="preserve">Нӯшокиҳои спиртӣ </t>
  </si>
  <si>
    <t>«4 13 313»</t>
  </si>
  <si>
    <t>Маҳсулоти тамоку</t>
  </si>
  <si>
    <t>«4 13 314»</t>
  </si>
  <si>
    <t xml:space="preserve">Маводи сузишворӣ ва молиданӣ </t>
  </si>
  <si>
    <t>«4 13 315»</t>
  </si>
  <si>
    <t>Бензин</t>
  </si>
  <si>
    <t>«4 13 316»</t>
  </si>
  <si>
    <t xml:space="preserve">Маснуоти заргарӣ аз тилло, тиллои сафед (платина) ё нукра </t>
  </si>
  <si>
    <t>«4 13 319»</t>
  </si>
  <si>
    <t>Дигар аксизҳои дохилӣ</t>
  </si>
  <si>
    <t>«4 13 320»</t>
  </si>
  <si>
    <t>Аксизҳои берунӣ</t>
  </si>
  <si>
    <t>«4 13 321»</t>
  </si>
  <si>
    <t>«4 13 322»</t>
  </si>
  <si>
    <t>«4 13 323»</t>
  </si>
  <si>
    <t>«4 13 324»</t>
  </si>
  <si>
    <t>«4 13 325»</t>
  </si>
  <si>
    <t>«4 13 326»</t>
  </si>
  <si>
    <t>«4 13 329»</t>
  </si>
  <si>
    <t>Дигар аксизҳои берунӣ</t>
  </si>
  <si>
    <t>«4 13 400»</t>
  </si>
  <si>
    <t>Андоз аз фоидаи инҳисороти (монополияи) фискалӣ (Фискальных монополий)</t>
  </si>
  <si>
    <t>«4 13 500»</t>
  </si>
  <si>
    <t xml:space="preserve">Андоз аз намудҳои хоси  хизматрасонӣ </t>
  </si>
  <si>
    <t>«4 14 100»</t>
  </si>
  <si>
    <t>Подошҳои иловагӣ (бонусҳо)</t>
  </si>
  <si>
    <t>«4 14 210»</t>
  </si>
  <si>
    <t>Пардохт (роялти) аз истифодабарандагони боигариҳои зеризаминӣ</t>
  </si>
  <si>
    <t>«4 14 220»</t>
  </si>
  <si>
    <t xml:space="preserve">Пардохт (роялти) оиди  ҳаққи истифода аз об </t>
  </si>
  <si>
    <t>«4 14 300»</t>
  </si>
  <si>
    <t xml:space="preserve">Андоз аз истихроч ва истифодаи захираҳои табиӣ </t>
  </si>
  <si>
    <t>«4 14 410»</t>
  </si>
  <si>
    <t xml:space="preserve">Пардохтҳо барои патент ва шаҳодатнома </t>
  </si>
  <si>
    <t>«4 14 420»</t>
  </si>
  <si>
    <t xml:space="preserve">Боҷи давлатӣ </t>
  </si>
  <si>
    <t>«4 14 500»</t>
  </si>
  <si>
    <t>Боҷҳои иҷозатномадошта</t>
  </si>
  <si>
    <t>«4 15 110»</t>
  </si>
  <si>
    <t xml:space="preserve">Боҷи гумрукӣ  </t>
  </si>
  <si>
    <t>«4 15 120»</t>
  </si>
  <si>
    <t>Бољи содиротї барои нахи пахта</t>
  </si>
  <si>
    <t>«4 15 200»</t>
  </si>
  <si>
    <t>Андоз барои амалиётҳо бо асъори хориҷӣ</t>
  </si>
  <si>
    <t>«4 15 300»</t>
  </si>
  <si>
    <t xml:space="preserve">Андозҳо барои намудҳои муайяни хизматрасониҳо </t>
  </si>
  <si>
    <t>«4 15 900»</t>
  </si>
  <si>
    <t xml:space="preserve">Дигар андозҳо аз савдо  ва амалиёти байналмилалӣ </t>
  </si>
  <si>
    <t>«4 16 100»</t>
  </si>
  <si>
    <t>Танхо тавассути  корхонаҳои тиҷоратӣ пардохтшаванда</t>
  </si>
  <si>
    <t>«4 16 200»</t>
  </si>
  <si>
    <t>Тавассути дигар корхонаҳо, ба истиснои корхонаҳои тиҷоратӣ ё корхонаҳои ташхиснашаванда пардохтшаванда</t>
  </si>
  <si>
    <t>«4 16 300»</t>
  </si>
  <si>
    <t xml:space="preserve">Андозҳое, ки ба дигар дараҷаҳо таалуқ надоранд </t>
  </si>
  <si>
    <t>«4 17 110»</t>
  </si>
  <si>
    <t xml:space="preserve">Андози иҷтимоӣ аз коркунон (ташкилотҳои буҷетӣ) </t>
  </si>
  <si>
    <t>«4 17 111»</t>
  </si>
  <si>
    <t xml:space="preserve">Андози иҷтимоӣ аз коркунон </t>
  </si>
  <si>
    <t>«4 17 120»</t>
  </si>
  <si>
    <t xml:space="preserve">Андози иҷтимоӣ аз корфармоён (ташкилотҳои бюдҷетӣ) </t>
  </si>
  <si>
    <t>«4 17 121»</t>
  </si>
  <si>
    <t xml:space="preserve">Андози иҷтимоӣ аз корфармоён </t>
  </si>
  <si>
    <t>«4 17 200»</t>
  </si>
  <si>
    <t>Маблағҳои ҳисобкардашудаи  шахсоне, ки коргари   кироя  намебошанд</t>
  </si>
  <si>
    <t>«4 17 300»</t>
  </si>
  <si>
    <t>Андози иљтимої аз соњибкорони инфиродї</t>
  </si>
  <si>
    <t>«4 17 900»</t>
  </si>
  <si>
    <t xml:space="preserve">Дигар андозҳо ва аъзоҳаққиҳо  барои эҳтиёҷоти иҷтимоӣ </t>
  </si>
  <si>
    <t>«4 18 110»</t>
  </si>
  <si>
    <t>Эҳдоияҳо (грантҳо)-и ҷорӣ</t>
  </si>
  <si>
    <t>«4 18 120»</t>
  </si>
  <si>
    <t>Эҳдоияҳо (грантҳо)-и асосӣ</t>
  </si>
  <si>
    <t>«4 18 210»</t>
  </si>
  <si>
    <t>«4 18 220»</t>
  </si>
  <si>
    <t>«4 18 310»</t>
  </si>
  <si>
    <t xml:space="preserve">Ҷорӣ </t>
  </si>
  <si>
    <t>«4 18 311»</t>
  </si>
  <si>
    <t xml:space="preserve">Маблағҳои  дар  шакли таъминпулии ихтисосӣ (субвентсия) ба даст омада </t>
  </si>
  <si>
    <t>«4 18 320»</t>
  </si>
  <si>
    <t xml:space="preserve">Асосӣ </t>
  </si>
  <si>
    <t>«4 18 321»</t>
  </si>
  <si>
    <t>Маблағҳои  дар  шакли таъминпулии ихтисосӣ (субвентсия) ба даст омада</t>
  </si>
  <si>
    <t>«4 18 322»</t>
  </si>
  <si>
    <t>Маблағҳои  ба тариқи ҳисоббаробаркуниҳои тарафайн  ба даст омада</t>
  </si>
  <si>
    <t>«4 18 400»</t>
  </si>
  <si>
    <t xml:space="preserve">Бозгашти маблағҳои додашуда </t>
  </si>
  <si>
    <t>«4 19 100»</t>
  </si>
  <si>
    <t xml:space="preserve">Ҷаримахо </t>
  </si>
  <si>
    <t>«4 19 200»</t>
  </si>
  <si>
    <t>Ҷаримахои мӯҳлатӣ</t>
  </si>
  <si>
    <t>«4 19 300»</t>
  </si>
  <si>
    <t>Ҷаримаҳои аҳдшиканӣ</t>
  </si>
  <si>
    <t>«4 20 100»</t>
  </si>
  <si>
    <t xml:space="preserve">Интиқолоти ихтиёрии ҷорӣ, ба истиснои эҳдоияҳо </t>
  </si>
  <si>
    <t>«4 20 200»</t>
  </si>
  <si>
    <t xml:space="preserve">Интиқолоти ихтиёрии асосӣ, ба истиснои эҳдоияҳо </t>
  </si>
  <si>
    <t>«4 21 100»</t>
  </si>
  <si>
    <t xml:space="preserve">Бозгашти маблағҳои фонди  тасбит (устуворкунӣ) </t>
  </si>
  <si>
    <t>«4 40 000»</t>
  </si>
  <si>
    <t xml:space="preserve">Даромадҳо аз амалиётҳои табодулӣ </t>
  </si>
  <si>
    <t>«4 41 110»</t>
  </si>
  <si>
    <t>«4 41 120»</t>
  </si>
  <si>
    <t xml:space="preserve">Аз дигар муассисаҳои молиявӣ </t>
  </si>
  <si>
    <t>«4 41 130»</t>
  </si>
  <si>
    <t xml:space="preserve">Аз дигар муассисаҳои ғайримолиявӣ </t>
  </si>
  <si>
    <t>«4 41 140»</t>
  </si>
  <si>
    <t>Фоизҳои вобаста ба  қоғазҳои қиматнок, ба ғайр аз саҳмияҳо</t>
  </si>
  <si>
    <t>«4 41 210»</t>
  </si>
  <si>
    <t>«4 41 220»</t>
  </si>
  <si>
    <t>«4 41 230»</t>
  </si>
  <si>
    <t>«4 41 300»</t>
  </si>
  <si>
    <t xml:space="preserve">Маблағҳои вазъшуда аз даромадҳои квазикорпоратсияҳо </t>
  </si>
  <si>
    <t>«4 41 400»</t>
  </si>
  <si>
    <t xml:space="preserve">Даромадҳо аз моликият, ки ба ӯҳдаи дорандагони нозирони суғурта  гузошта шудаанд </t>
  </si>
  <si>
    <t>«4 41 500»</t>
  </si>
  <si>
    <t xml:space="preserve">Даромадҳо аз рентаи  замин   </t>
  </si>
  <si>
    <t>«4 41 900»</t>
  </si>
  <si>
    <t xml:space="preserve">Дигар даромадҳо аз моликият </t>
  </si>
  <si>
    <t>«4 42 100»</t>
  </si>
  <si>
    <t xml:space="preserve">Даромадҳо аз фурӯши мол ва иҷрои кор, ки аз тарафи муассисаҳои бозорӣ амалӣ карда мешаванд  </t>
  </si>
  <si>
    <t>«4 42 210»</t>
  </si>
  <si>
    <t xml:space="preserve">Барои хизматрасонии маъмурӣ </t>
  </si>
  <si>
    <t>«4 42 220»</t>
  </si>
  <si>
    <t xml:space="preserve">Барои хизматрасонии гумрукӣ </t>
  </si>
  <si>
    <t>«4 42 230»</t>
  </si>
  <si>
    <t xml:space="preserve">Барои варақаҳои  шиносномахо </t>
  </si>
  <si>
    <t>«4 42 240»</t>
  </si>
  <si>
    <t>Барои тамғаҳои  аксизӣ</t>
  </si>
  <si>
    <t>«4 42 250»</t>
  </si>
  <si>
    <t>Қайдкунии воситаҳои доруворӣ</t>
  </si>
  <si>
    <t>«4 42 260»</t>
  </si>
  <si>
    <t>Иҷозат барои кори шаҳрвандҳои хориҷӣ</t>
  </si>
  <si>
    <t>«4 42 290»</t>
  </si>
  <si>
    <t>Барои дигар хизматрасониҳои маъмурӣ</t>
  </si>
  <si>
    <t>«4 42 300»</t>
  </si>
  <si>
    <t xml:space="preserve">Даромадҳо аз фурӯши мол ва иҷрои кори муассисаҳои ғайрибозоргонӣ </t>
  </si>
  <si>
    <t>«4 42 310»</t>
  </si>
  <si>
    <t>Воридот аз ташкилотҳои зертобеъ</t>
  </si>
  <si>
    <t>«4 42 400»</t>
  </si>
  <si>
    <t xml:space="preserve">Даромадҳо аз фурӯши шартан ҳисобшудаи фурӯши молу хизматрасониҳо </t>
  </si>
  <si>
    <t>«4 42 500»</t>
  </si>
  <si>
    <t>Воридот аз фурўши воситаҳои асосӣ (ҳисоб тавассути Хазинадорӣ истифода бурда мешавад)</t>
  </si>
  <si>
    <t>«4 42 600»</t>
  </si>
  <si>
    <t>Воридот аз фурўши дороиҳои ғайримоддӣ ва ғайриистеҳсолӣ (ҳисоб тавассути Хазинадорӣ истифода бурда мешавад)</t>
  </si>
  <si>
    <t>«4 42 900»</t>
  </si>
  <si>
    <t>Дигар даромадҳо аз фурӯши мол, иҷрои кор ва хизматрасонӣ</t>
  </si>
  <si>
    <t>«4 43 110»</t>
  </si>
  <si>
    <t>Даромадҳо аз ивази асъори хориҷӣ</t>
  </si>
  <si>
    <t>«4 44 100»</t>
  </si>
  <si>
    <t xml:space="preserve">Бозгардондан  ва тахфифҳои молҳои фурӯхташуда, корҳо ва хизматрасониҳои  муассисаҳои бозорӣ </t>
  </si>
  <si>
    <t>«4 44 200»</t>
  </si>
  <si>
    <t xml:space="preserve">Бозгардондан  ва тахфифҳои молҳои фурӯхташуда, корҳо ва хизматрасониҳои муассисаҳои  ғайри бозорӣ </t>
  </si>
  <si>
    <t>«4 51 110»</t>
  </si>
  <si>
    <t>Фоидаи ҳолдингӣ - биноҳои  истиқоматӣ</t>
  </si>
  <si>
    <t>«4 51 120»</t>
  </si>
  <si>
    <t>Фоидаи ҳолдингӣ - биноҳои  ғайри истиқоматӣ</t>
  </si>
  <si>
    <t>«4 51 210»</t>
  </si>
  <si>
    <t>Фоидаи ҳолдингӣ - иншоот</t>
  </si>
  <si>
    <t>«4 51 220»</t>
  </si>
  <si>
    <t>Фоидаи ҳолдингӣ - лавозимоти интиқолот</t>
  </si>
  <si>
    <t>«4 51 310»</t>
  </si>
  <si>
    <t>Фоидаи ҳолдингӣ - таҷҳизоти нақлиётӣ</t>
  </si>
  <si>
    <t>«4 51 320»</t>
  </si>
  <si>
    <t>Фоидаи ҳолдингӣ - дигар мошинҳо ва таҷҳизот</t>
  </si>
  <si>
    <t>«4 51 400»</t>
  </si>
  <si>
    <t>Фоидаи ҳолдингӣ – мебел, лавозимоти идоравӣ,  асбобҳо, инвентари истеҳсолӣ ва хоҷагидорӣ</t>
  </si>
  <si>
    <t>«4 51 500»</t>
  </si>
  <si>
    <t>Фоидаи ҳолдингӣ - дороиҳои биологӣ</t>
  </si>
  <si>
    <t>«4 51 600»</t>
  </si>
  <si>
    <t>Фоидаи ҳолдингӣ - дороиҳои ғайримоддӣ</t>
  </si>
  <si>
    <t>«4 51 710»</t>
  </si>
  <si>
    <t>Фоидаи ҳолдингӣ - захираҳои стратегӣ</t>
  </si>
  <si>
    <t>«4 51 720»</t>
  </si>
  <si>
    <t>Фоидаи ҳолдингӣ - дигар захираҳо</t>
  </si>
  <si>
    <t>«4 51 800»</t>
  </si>
  <si>
    <t>Фоидаи ҳолдингӣ – дороиҳои қиматнок</t>
  </si>
  <si>
    <t>«4 52 100»</t>
  </si>
  <si>
    <t>Фоидаи ҳолдингӣ – замин</t>
  </si>
  <si>
    <t>«4 52 200»</t>
  </si>
  <si>
    <t>Фоидаи ҳолдингӣ – захираҳои  зеризаминӣ</t>
  </si>
  <si>
    <t>«4 52 300»</t>
  </si>
  <si>
    <t>Фоидаи ҳолдингӣ - дигар захираҳои табиӣ</t>
  </si>
  <si>
    <t>«4 52 400»</t>
  </si>
  <si>
    <t>Фоидаи ҳолдингӣ - дороиҳои ғайримоддии истеҳсолнашуда</t>
  </si>
  <si>
    <t>«4 53 100»</t>
  </si>
  <si>
    <t>Фоидаи ҳолдингӣ - воситаҳои пулӣ дар хазина бо асъори хориҷӣ</t>
  </si>
  <si>
    <t>«4 53 200»</t>
  </si>
  <si>
    <t>Фоидаи ҳолдингӣ - чекҳо бо асъори хориҷӣ</t>
  </si>
  <si>
    <t>«4 53 300»</t>
  </si>
  <si>
    <t>Фоидаи ҳолдингӣ - дигар ҳисобҳо бо асъори хориҷӣ</t>
  </si>
  <si>
    <t>«4 53 400»</t>
  </si>
  <si>
    <t>Фоидаи ҳолдингӣ - амонатҳои бонкӣ бо асъори хориҷӣ</t>
  </si>
  <si>
    <t>«4 53 500»</t>
  </si>
  <si>
    <t>Фоидаи ҳолдингӣ - сармоягузориҳо</t>
  </si>
  <si>
    <t>«4 54 110»</t>
  </si>
  <si>
    <t>Фоидаи ҳолдингӣ - воситаҳои пулӣ бо асъори хориҷӣ</t>
  </si>
  <si>
    <t>«4 54 120»</t>
  </si>
  <si>
    <t>«4 54 210»</t>
  </si>
  <si>
    <t>Фоидаи ҳолдингӣ - ҲЯХ буҷети ҷумҳуриявӣ бо асъори хориҷӣ</t>
  </si>
  <si>
    <t>«4 54 220»</t>
  </si>
  <si>
    <t>Фоидаи ҳолдингӣ -ҲЯХ буҷети маҳаллӣ бо асъори хориҷӣ</t>
  </si>
  <si>
    <t>«4 54 230»</t>
  </si>
  <si>
    <t>Фоидаи ҳолдингӣ - ҲЯХ ҳисоби махсуси БҶ бо асъори хориҷӣ</t>
  </si>
  <si>
    <t>«4 54 240»</t>
  </si>
  <si>
    <t>Фоидаи ҳолдингӣ - ҲЯХ ҳисоби махсуси БМ бо асъори хориҷӣ</t>
  </si>
  <si>
    <t>«4 54 250»</t>
  </si>
  <si>
    <t>Фоидаи ҳолдингӣ - ҲЯХ хҳсобҳои шахсии ташкилотҳои буҷетӣ бо асъори хориҷӣ</t>
  </si>
  <si>
    <t>«4 54 260»</t>
  </si>
  <si>
    <t>Фоидаи ҳолдингӣ - ҲЯХ ҳисоби интиқолии БҶ бо асъори хориҷӣ</t>
  </si>
  <si>
    <t>«4 54 300»</t>
  </si>
  <si>
    <t>«4 54 410»</t>
  </si>
  <si>
    <t>Фоидаи ҳолдингӣ - қоғазҳои қиматнок, ба ғайр аз саҳмияҳо</t>
  </si>
  <si>
    <t>«4 54 420»</t>
  </si>
  <si>
    <t>Фоидаи ҳолдингӣ - қарзҳо ва вомҳо</t>
  </si>
  <si>
    <t>«4 54 430»</t>
  </si>
  <si>
    <t>Фоидаи ҳолдингӣ - саҳмияҳо ва дигар шаклҳои иштирок дар сармоя</t>
  </si>
  <si>
    <t>«4 54 500»</t>
  </si>
  <si>
    <t>Фоидаи ҳолдингӣ - захираҳои техникии суғуртавӣ</t>
  </si>
  <si>
    <t>«4 54 600»</t>
  </si>
  <si>
    <t>«4 54 700»</t>
  </si>
  <si>
    <t>Фоидаи ҳолдингӣ - қарздории дебиторӣ</t>
  </si>
  <si>
    <t>«4 55 100»</t>
  </si>
  <si>
    <t>Фоидаи ҳолдингӣ - тиллои пулӣ</t>
  </si>
  <si>
    <t>«4 55 200»</t>
  </si>
  <si>
    <t>Фоидаи ҳолдингӣ – ҲМҚ (СДР)</t>
  </si>
  <si>
    <t>«4 56 100»</t>
  </si>
  <si>
    <t>Фоидаи ҳолдингӣ - қарздории кредиторӣ</t>
  </si>
  <si>
    <t>«4 57 100»</t>
  </si>
  <si>
    <t>«4 57 200»</t>
  </si>
  <si>
    <t>«4 57 300»</t>
  </si>
  <si>
    <t xml:space="preserve">Фоидаи ҳолдингӣ - қарзҳои  бонкӣ ва вомҳо </t>
  </si>
  <si>
    <t>«4 57 400»</t>
  </si>
  <si>
    <t>Фоидаи ҳолдингӣ - дигар қарзҳо ва вомҳо</t>
  </si>
  <si>
    <t>«4 57 500»</t>
  </si>
  <si>
    <t>«4 57 600»</t>
  </si>
  <si>
    <t>Фоидаи ҳолдингӣ - ӯхдадориҳои марбут ба иҷораи молиявӣ</t>
  </si>
  <si>
    <t>«4 61 100»</t>
  </si>
  <si>
    <t>Дигар тағйиротҳо дар ҳаҷм - биноҳо</t>
  </si>
  <si>
    <t>«4 61 110»</t>
  </si>
  <si>
    <t>«4 61 120»</t>
  </si>
  <si>
    <t>«4 61 210»</t>
  </si>
  <si>
    <t>«4 61 220»</t>
  </si>
  <si>
    <t>«4 61 310»</t>
  </si>
  <si>
    <t>«4 61 320»</t>
  </si>
  <si>
    <t>«4 61 400»</t>
  </si>
  <si>
    <t>Дигар тағйиротҳо дар ҳаҷм – мебел, лавозимоти идоравӣ, асбобҳо, инвентари истеҳсолӣ ва хоҷагидорӣ</t>
  </si>
  <si>
    <t>«4 61 500»</t>
  </si>
  <si>
    <t>Дигар тағгйиротҳо дар ҳаҷм - дороиҳои биологӣ</t>
  </si>
  <si>
    <t>«4 61 600»</t>
  </si>
  <si>
    <t>«4 61 710»</t>
  </si>
  <si>
    <t>«4 61 720»</t>
  </si>
  <si>
    <t>«4 61 800»</t>
  </si>
  <si>
    <t>Дигар тағйиротҳо дар ҳаҷм – дороиҳои қиматнок</t>
  </si>
  <si>
    <t>«4 62 100»</t>
  </si>
  <si>
    <t>«4 62 200»</t>
  </si>
  <si>
    <t>«4 62 300»</t>
  </si>
  <si>
    <t>«4 62 400»</t>
  </si>
  <si>
    <t>«4 63 100»</t>
  </si>
  <si>
    <t>Дигар тағйиротҳо дар ҳаҷм - воситаҳои пулӣ дар хазина</t>
  </si>
  <si>
    <t>«4 63 200»</t>
  </si>
  <si>
    <t>Дигар тағйиротҳо дар ҳаҷм - ҲЯХ бо асъори миллӣ</t>
  </si>
  <si>
    <t>«4 63 300»</t>
  </si>
  <si>
    <t>Дигар тағйиротҳо дар ҳаҷм - дигар ҳисобҳо бо асъори миллӣ</t>
  </si>
  <si>
    <t>«4 63 400»</t>
  </si>
  <si>
    <t>Дигар тағйиротҳо дар ҳаҷм - дигар ҳисобҳо бо асъори хориҷӣ</t>
  </si>
  <si>
    <t>«4 63 510»</t>
  </si>
  <si>
    <t>Дигар тагйиротхо дар ҳаҷм - қоғазҳои қиматнок, ба ғайр аз саҳмияҳо</t>
  </si>
  <si>
    <t>«4 63 520»</t>
  </si>
  <si>
    <t>Дигар тағйиротҳо дар ҳаҷм - қарзҳо ва вомҳо</t>
  </si>
  <si>
    <t>«4 63 530»</t>
  </si>
  <si>
    <t>«4 63 540»</t>
  </si>
  <si>
    <t>Дигар тағйиротҳо дар ҳаҷм - захираҳои техникии суғуртавӣ</t>
  </si>
  <si>
    <t>«4 63 550»</t>
  </si>
  <si>
    <t>Дигар тағйиротҳо дар ҳаҷм - амонатҳои бонкӣ</t>
  </si>
  <si>
    <t>«4 63 600»</t>
  </si>
  <si>
    <t>Дигар тағйиротҳо дар ҳаҷм - қарздории дебитории харидорон</t>
  </si>
  <si>
    <t>«4 63 700»</t>
  </si>
  <si>
    <t>Дигар тағйиротҳо дар ҳаҷм - дигар қарздориҳои дебиторӣ</t>
  </si>
  <si>
    <t>«4 64 100»</t>
  </si>
  <si>
    <t>«4 64 200»</t>
  </si>
  <si>
    <t>Дигар тағйиротҳо дар ҳаҷм - ҲЯХ бо асъори хориҷӣ</t>
  </si>
  <si>
    <t>«4 64 300»</t>
  </si>
  <si>
    <t>«4 64 410»</t>
  </si>
  <si>
    <t>«4 64 420»</t>
  </si>
  <si>
    <t>«4 64 430»</t>
  </si>
  <si>
    <t>«4 64 440»</t>
  </si>
  <si>
    <t>«4 64 450»</t>
  </si>
  <si>
    <t>«4 64 500»</t>
  </si>
  <si>
    <t>«4 64 600»</t>
  </si>
  <si>
    <t>«4 65 100»</t>
  </si>
  <si>
    <t>Дигар тағйиротҳо дар ҳаҷм - тиллои пулӣ</t>
  </si>
  <si>
    <t>«4 65 200»</t>
  </si>
  <si>
    <t>«4 66 100»</t>
  </si>
  <si>
    <t>Дигар тағйиротҳо дар ҳаҷм - қарздории кредиторӣ</t>
  </si>
  <si>
    <t>«4 66 200»</t>
  </si>
  <si>
    <t>«4 66 300»</t>
  </si>
  <si>
    <t>Дигар тағйиротҳо дар ҳаҷм - қарзҳо ва вомҳои бонкӣ</t>
  </si>
  <si>
    <t>«4 66 400»</t>
  </si>
  <si>
    <t>Дигар тағйиротҳо дар ҳаҷм - дигар қарздориҳои кредиторӣ</t>
  </si>
  <si>
    <t>«4 66 500»</t>
  </si>
  <si>
    <t>«4 66 600»</t>
  </si>
  <si>
    <t>Дигар тағйиротҳо дар ҳаҷм - ӯҳдадориҳои марбут ба иҷораи молиявӣ</t>
  </si>
  <si>
    <t>«4 67 100»</t>
  </si>
  <si>
    <t>«4 67 200»</t>
  </si>
  <si>
    <t>«4 67 300»</t>
  </si>
  <si>
    <t>Дигар тағйиротҳо дар ҳаҷм -  қарзҳо ва вомҳои бонкӣ</t>
  </si>
  <si>
    <t>«4 67 400»</t>
  </si>
  <si>
    <t>«4 67 500»</t>
  </si>
  <si>
    <t>«4 67 600»</t>
  </si>
  <si>
    <t>«5 10 100»</t>
  </si>
  <si>
    <t>Музди меҳнат дар шакли пулӣ</t>
  </si>
  <si>
    <t>«5 10 200»</t>
  </si>
  <si>
    <t>Музди меҳнат дар шакли табиӣ</t>
  </si>
  <si>
    <t>«5 10 300»</t>
  </si>
  <si>
    <t xml:space="preserve">Подошпулиҳо </t>
  </si>
  <si>
    <t>«5 10 400»</t>
  </si>
  <si>
    <t>Ҳаққи заҳмат</t>
  </si>
  <si>
    <t>«5 10 900»</t>
  </si>
  <si>
    <t>Дигар пардохтҳо ба кормандон</t>
  </si>
  <si>
    <t>«5 11 100»</t>
  </si>
  <si>
    <t>Суғуртаи иҷтимоӣ</t>
  </si>
  <si>
    <t>«5 11 200»</t>
  </si>
  <si>
    <t>Суғуртаи тиббӣ</t>
  </si>
  <si>
    <t>«5 11 900»</t>
  </si>
  <si>
    <t>Дигар суғуртаи давлатӣ</t>
  </si>
  <si>
    <t>«5 12 100»</t>
  </si>
  <si>
    <t xml:space="preserve">Истифодаи молҳо </t>
  </si>
  <si>
    <t>«5 12 110»</t>
  </si>
  <si>
    <t xml:space="preserve">Молҳои таҳрирӣ ва лавозимоти таълимӣ </t>
  </si>
  <si>
    <t>«5 12 120»</t>
  </si>
  <si>
    <t xml:space="preserve">Молҳо ва инвентари хоҷагидорӣ  </t>
  </si>
  <si>
    <t>«5 12 130»</t>
  </si>
  <si>
    <t xml:space="preserve">Масолеҳи масрафшаванда </t>
  </si>
  <si>
    <t>«5 12 140»</t>
  </si>
  <si>
    <t xml:space="preserve">Ҷиҳоз ва либоси расмии дигар, инвентари мулоим </t>
  </si>
  <si>
    <t>«5 12 150»</t>
  </si>
  <si>
    <t xml:space="preserve">Хӯрокворӣ </t>
  </si>
  <si>
    <t>«5 12 160»</t>
  </si>
  <si>
    <t xml:space="preserve">Доруворӣ, воситаҳои басту банд </t>
  </si>
  <si>
    <t>«5 12 170»</t>
  </si>
  <si>
    <t xml:space="preserve">Дигар  ашёҳои ба категорияхои дигар мансубнашуда </t>
  </si>
  <si>
    <t>«5 12 180»</t>
  </si>
  <si>
    <t xml:space="preserve">Арзиши аслии молҳои  фурӯхташуда,  кору хизматрасониҳо </t>
  </si>
  <si>
    <t>«5 12 190»</t>
  </si>
  <si>
    <t xml:space="preserve">Харочоти истеҳсолию болосарӣ (ХИБ) </t>
  </si>
  <si>
    <t>«5 12 210»</t>
  </si>
  <si>
    <t xml:space="preserve">Молҳои техникии таъиноти низомӣ </t>
  </si>
  <si>
    <t>«5 12 310»</t>
  </si>
  <si>
    <t>«5 12 320»</t>
  </si>
  <si>
    <t>Сухти дизелӣ (Солярка)</t>
  </si>
  <si>
    <t>«5 12 330»</t>
  </si>
  <si>
    <t>Керосин</t>
  </si>
  <si>
    <t>«5 12 340»</t>
  </si>
  <si>
    <t>Мазут</t>
  </si>
  <si>
    <t>«5 12 350»</t>
  </si>
  <si>
    <t>Равғани автомобил</t>
  </si>
  <si>
    <t>«5 12 390»</t>
  </si>
  <si>
    <t>Дигар маводи сухт</t>
  </si>
  <si>
    <t>«5 12 410»</t>
  </si>
  <si>
    <t xml:space="preserve">Хароҷоти иҷора </t>
  </si>
  <si>
    <t>«5 12 420»</t>
  </si>
  <si>
    <t xml:space="preserve">Таълим ва таҷдиди таълими кормандон </t>
  </si>
  <si>
    <t>«5 12 430»</t>
  </si>
  <si>
    <t xml:space="preserve">Хароҷоти  намояндагӣ </t>
  </si>
  <si>
    <t>«5 12 440»</t>
  </si>
  <si>
    <t xml:space="preserve">Тайёр кардани мукофотҳо, гувоҳиномаҳо, медалҳо, сиккаҳо ва хариди тӯҳфаҳо </t>
  </si>
  <si>
    <t>«5 12 450»</t>
  </si>
  <si>
    <t xml:space="preserve"> Хароҷоти сафарҳои хизматӣ </t>
  </si>
  <si>
    <t>«5 12 460»</t>
  </si>
  <si>
    <t>Хароҷоти реклама ва мусоидат ба фурӯш</t>
  </si>
  <si>
    <t>«5 12 470»</t>
  </si>
  <si>
    <t>Хароҷоти нигоҳдорӣ ва боркашонӣ</t>
  </si>
  <si>
    <t>«5 12 480»</t>
  </si>
  <si>
    <t>Хароҷоти хизматрасонии кафолатӣ</t>
  </si>
  <si>
    <t>«5 12 490»</t>
  </si>
  <si>
    <t xml:space="preserve">Дигар  хароҷоти ҷорие, ки ба категорияҳои дигар нисбат дода нашудаанд </t>
  </si>
  <si>
    <t>«5 12 510»</t>
  </si>
  <si>
    <t xml:space="preserve">Хароҷоти таъмири ҷорӣ -Биноҳо ва иншоот </t>
  </si>
  <si>
    <t>«5 12 520»</t>
  </si>
  <si>
    <t xml:space="preserve">Хароҷоти таъмири ҷорӣ - Роҳҳо </t>
  </si>
  <si>
    <t>«5 12 530»</t>
  </si>
  <si>
    <t xml:space="preserve">Хароҷоти таъмири ҷорӣ -Воситаҳои нақлиёт ва таҷҳизоти вазнин </t>
  </si>
  <si>
    <t>«5 12 540»</t>
  </si>
  <si>
    <t xml:space="preserve">Хароҷоти таъмири ҷорӣ -Мебели идоравӣ ва таҷҳизоти техникии идоравӣ </t>
  </si>
  <si>
    <t>«5 12 590»</t>
  </si>
  <si>
    <t>Хизматрасонии техникӣ ва таъмири ҷории ба категорияҳои дигар мансубнашуда</t>
  </si>
  <si>
    <t>«5 12 610»</t>
  </si>
  <si>
    <t xml:space="preserve">Хизматрасониҳои мутахассисони барои  иҷрои корҳо ва  хизматрасониҳои мушаххас кироякардашуда  </t>
  </si>
  <si>
    <t>«5 12 620»</t>
  </si>
  <si>
    <t xml:space="preserve">Хизматрасониҳои марбут ба интишорот ва корҳои нашриётӣ, нашри хабарҳо  ё иттилооти дигар дар воситаҳои ахбори омма </t>
  </si>
  <si>
    <t>«5 12 630»</t>
  </si>
  <si>
    <t xml:space="preserve">Хизматрасониҳои  марбут ба насби дастгоҳҳои техникӣ ва таҷҳизот </t>
  </si>
  <si>
    <t>«5 12 640»</t>
  </si>
  <si>
    <t>Пардохти музди мењнати кормандони њайати техникї ва хизматрасонї</t>
  </si>
  <si>
    <t>«5 12 641»</t>
  </si>
  <si>
    <t>Пардохти музди мењнати кормандони њайати техникї ва хизматрасони маќомоти идораи давлатї ва муассисањои буљетї</t>
  </si>
  <si>
    <t>«5 12 642»</t>
  </si>
  <si>
    <t>Пардохти андози иљтимої ба фонди њифзи иљтимоии ањолї</t>
  </si>
  <si>
    <t>«5 12 690»</t>
  </si>
  <si>
    <t xml:space="preserve">Дигар   хизматрасониҳое, ки ба категорияҳои дигар мансуб нашудаанд </t>
  </si>
  <si>
    <t>«5 12 710»</t>
  </si>
  <si>
    <t xml:space="preserve">Энергияи барқ </t>
  </si>
  <si>
    <t>«5 12 720»</t>
  </si>
  <si>
    <t>Газ</t>
  </si>
  <si>
    <t>«5 12 730»</t>
  </si>
  <si>
    <t xml:space="preserve">Гармидиҳӣ </t>
  </si>
  <si>
    <t>«5 12 740»</t>
  </si>
  <si>
    <t xml:space="preserve">Ҳамли партовҳо (ахлот) </t>
  </si>
  <si>
    <t>«5 12 750»</t>
  </si>
  <si>
    <t xml:space="preserve">Таъмини  об </t>
  </si>
  <si>
    <t>«5 12 760»</t>
  </si>
  <si>
    <t>Системаҳои худмухтори гармидиҳӣ</t>
  </si>
  <si>
    <t>«5 12 765»</t>
  </si>
  <si>
    <t xml:space="preserve">Хизматрасониҳои коммуналии ба категорияҳои дигар мансубнашуда </t>
  </si>
  <si>
    <t>«5 12 771»</t>
  </si>
  <si>
    <t xml:space="preserve">Хизматрасониҳои алоқа </t>
  </si>
  <si>
    <t>«5 12 772»</t>
  </si>
  <si>
    <t>Насби воситаҳои алоқа</t>
  </si>
  <si>
    <t>«5 12 773»</t>
  </si>
  <si>
    <t xml:space="preserve">Хизматрасониҳои почта </t>
  </si>
  <si>
    <t>«5 12 779»</t>
  </si>
  <si>
    <t xml:space="preserve">Хизматрасониҳои алоқаи ба категорияҳои дигар мансуб нашуда </t>
  </si>
  <si>
    <t>«5 12 810»</t>
  </si>
  <si>
    <t>Хароҷоти конвертатсияи асъори хориҷӣ</t>
  </si>
  <si>
    <t>Хароҷоти хизматрасонии бонк</t>
  </si>
  <si>
    <t>«5 12 900»</t>
  </si>
  <si>
    <t xml:space="preserve">Истифодаи дигар   молҳо ва кору  хизматрасониҳои ба категорияҳои дигар мансуб нашуда </t>
  </si>
  <si>
    <t>«5 13 100»</t>
  </si>
  <si>
    <t xml:space="preserve">Хароҷоти истеҳлоки воситаҳои  асосӣ </t>
  </si>
  <si>
    <t>«5 13 200»</t>
  </si>
  <si>
    <t>Хароҷоти истеҳлоки дороиҳои ғайримоддии истеҳсолшуда</t>
  </si>
  <si>
    <t>«5 13 300»</t>
  </si>
  <si>
    <t>Хароҷоти истеҳлоки дороиҳои ғайримоддии истеҳсолнашуда</t>
  </si>
  <si>
    <t>«5 13 400»</t>
  </si>
  <si>
    <t>Хароҷоти сарфшавии захираҳои табиӣ</t>
  </si>
  <si>
    <t>«5 14 100»</t>
  </si>
  <si>
    <t xml:space="preserve">Ба ғайримуқимон </t>
  </si>
  <si>
    <t>«5 14 110»</t>
  </si>
  <si>
    <t>Ба қоғазҳои қиматнок, ба ғайр аз саҳмияҳо</t>
  </si>
  <si>
    <t>«5 14 210»</t>
  </si>
  <si>
    <t>Ба муассисаҳои молиявиии бахши давлатӣ</t>
  </si>
  <si>
    <t>«5 14 220»</t>
  </si>
  <si>
    <t xml:space="preserve">Ба Бонки миллии Тоҷикистон </t>
  </si>
  <si>
    <t>«5 14 230»</t>
  </si>
  <si>
    <t>«5 14 290»</t>
  </si>
  <si>
    <t xml:space="preserve">Ба муқимони дигар, ба истиснои  воҳидҳои бахши  давлатӣ  </t>
  </si>
  <si>
    <t>«5 14 310»</t>
  </si>
  <si>
    <t>«5 15 110»</t>
  </si>
  <si>
    <t xml:space="preserve">Ба корпоратсияҳои (ташкилотҳои) давлатии ғайримолиявӣ </t>
  </si>
  <si>
    <t>«5 15 111»</t>
  </si>
  <si>
    <t xml:space="preserve">Ба корхонаҳои тобеъ </t>
  </si>
  <si>
    <t>«5 15 119»</t>
  </si>
  <si>
    <t>Ба дигар корпоратсияҳои (ташкилотҳои) давлатии ғайримолиявӣ</t>
  </si>
  <si>
    <t>«5 15 120»</t>
  </si>
  <si>
    <t>Ба корпоратсияҳои (ташкилотҳо)  давлатии молиявӣ</t>
  </si>
  <si>
    <t>«5 15 210»</t>
  </si>
  <si>
    <t xml:space="preserve">Ба корхонаҳои хусусии ғайримолиявӣ </t>
  </si>
  <si>
    <t>«5 15 220»</t>
  </si>
  <si>
    <t xml:space="preserve">Ба корхонаҳои хусусии молиявӣ </t>
  </si>
  <si>
    <t>«5 16 110»</t>
  </si>
  <si>
    <t>«5 16 120»</t>
  </si>
  <si>
    <t>«5 16 211»</t>
  </si>
  <si>
    <t>Ба ташкилотҳои байнидавлатӣ ва байналмилалӣ</t>
  </si>
  <si>
    <t>«5 16 219»</t>
  </si>
  <si>
    <t>Ба дигар ташкилотҳо</t>
  </si>
  <si>
    <t>«5 16 221»</t>
  </si>
  <si>
    <t>Ба мақомоти ҳукуматии байналмилалӣ ва ташкилотҳои байналмилалӣ</t>
  </si>
  <si>
    <t>«5 16 222»</t>
  </si>
  <si>
    <t xml:space="preserve">Ба мақомоти ҳукуматии сермиллат </t>
  </si>
  <si>
    <t>«5 16 223»</t>
  </si>
  <si>
    <t xml:space="preserve">Ба категорияҳои дигар мансуб нашуда </t>
  </si>
  <si>
    <t>«5 16 310»</t>
  </si>
  <si>
    <t>«5 16 311»</t>
  </si>
  <si>
    <t xml:space="preserve">Ба фондҳои мақсаднок (махсус) </t>
  </si>
  <si>
    <t>«5 16 312»</t>
  </si>
  <si>
    <t xml:space="preserve">Барои ҳисоббаробаркуниҳои мутақобил </t>
  </si>
  <si>
    <t>«5 16 313»</t>
  </si>
  <si>
    <t>Эҳдоияҳои Хазинадорӣ аз рӯи пардохтҳои ҷорӣ</t>
  </si>
  <si>
    <t>«5 16 314»</t>
  </si>
  <si>
    <t>Эҳдоияҳои  шӯъбаҳои  маҳаллии  Хазинадорӣ  аз  рӯи  пардохтҳои  ҷорӣ</t>
  </si>
  <si>
    <t>«5 16 321»</t>
  </si>
  <si>
    <t>«5 16 322»</t>
  </si>
  <si>
    <t>«5 16 323»</t>
  </si>
  <si>
    <t>Барои зиёдкунии фонди оиннома</t>
  </si>
  <si>
    <t>«5 16 329»</t>
  </si>
  <si>
    <t xml:space="preserve">Ғайра </t>
  </si>
  <si>
    <t>«5 16 400»</t>
  </si>
  <si>
    <t>Бозгардондани маблағҳои бадастомада</t>
  </si>
  <si>
    <t>«5 17 110»</t>
  </si>
  <si>
    <t xml:space="preserve">Кумакпулиҳои таъминоти иҷтимоӣ дар шакли пулӣ </t>
  </si>
  <si>
    <t>«5 17 111»</t>
  </si>
  <si>
    <t>Нафақаҳо</t>
  </si>
  <si>
    <t>«5 17 120»</t>
  </si>
  <si>
    <t xml:space="preserve">Кумакпулиҳои таъминоти иҷтимоӣ дар шакли табиӣ </t>
  </si>
  <si>
    <t>«5 17 210»</t>
  </si>
  <si>
    <t>Кумакпулӣ</t>
  </si>
  <si>
    <t>«5 17 220»</t>
  </si>
  <si>
    <t xml:space="preserve">Пардохтҳои ҷубронӣ ба аҳолӣ </t>
  </si>
  <si>
    <t>«5 21 100»</t>
  </si>
  <si>
    <t xml:space="preserve">Харочоти марбут ба моликияти ба ӯҳдаи дорандагони нозирони суғуртавӣ  вогузоршуда </t>
  </si>
  <si>
    <t>«5 21 200»</t>
  </si>
  <si>
    <t xml:space="preserve">Харочот барои рентаи замин </t>
  </si>
  <si>
    <t>«5 22 100»</t>
  </si>
  <si>
    <t>Идропулиҳо</t>
  </si>
  <si>
    <t>«5 22 200»</t>
  </si>
  <si>
    <t>Ҷубронпулиҳо</t>
  </si>
  <si>
    <t>«5 22 210»</t>
  </si>
  <si>
    <t>Ҷубронпулиҳо барои хӯрокворӣ</t>
  </si>
  <si>
    <t>«5 22 220»</t>
  </si>
  <si>
    <t>Ҷубронпулиҳо барои дигар молҳо</t>
  </si>
  <si>
    <t>«5 22 300»</t>
  </si>
  <si>
    <t>Ҷаримаҳо ва ҷаримаҳои мӯҳлатӣ (пенияҳо)</t>
  </si>
  <si>
    <t>«5 22 410»</t>
  </si>
  <si>
    <t>Интиқолот ба ташкилотҳои ғайритиҷоратӣ</t>
  </si>
  <si>
    <t>«5 22 420»</t>
  </si>
  <si>
    <t>Ҷубронпулии яквақтаина</t>
  </si>
  <si>
    <t>«5 22 430»</t>
  </si>
  <si>
    <t>Интиқолоти ба дигар категорияҳо  шомилнашуда</t>
  </si>
  <si>
    <t>«5 22 510»</t>
  </si>
  <si>
    <t xml:space="preserve">Андоз аз амволи ғайриманқул </t>
  </si>
  <si>
    <t>«5 22 520»</t>
  </si>
  <si>
    <t>Андоз аз истифодабарандагон  роҳҳои автомобилгард</t>
  </si>
  <si>
    <t>«5 22 530»</t>
  </si>
  <si>
    <t>Андоз аз нақлиёт</t>
  </si>
  <si>
    <t>«5 22 540»</t>
  </si>
  <si>
    <t>Пардохтҳо ба буҷет аз даромад аз фаъолияти соҳибкорӣ</t>
  </si>
  <si>
    <t>«5 22 610»</t>
  </si>
  <si>
    <t>Хароҷоти суғуртаи биноҳо</t>
  </si>
  <si>
    <t>«5 22 620»</t>
  </si>
  <si>
    <t>Хароҷоти суғуртаи таҷҳизот</t>
  </si>
  <si>
    <t>«5 22 910»</t>
  </si>
  <si>
    <t xml:space="preserve">Хароҷоти оиди ташакулли фонди тасбит (устуворкунӣ) </t>
  </si>
  <si>
    <t>«5 22 920»</t>
  </si>
  <si>
    <t xml:space="preserve">Хароҷоти оиди ташакулли захира барои сохтмони иморатҳои муҳим </t>
  </si>
  <si>
    <t>«5 22 930»</t>
  </si>
  <si>
    <t>Маблағи ҷудошуда мартуб ба воситаҳои махсус ба ташкилотҳои боло</t>
  </si>
  <si>
    <t>«5 22 940»</t>
  </si>
  <si>
    <t>Баргардонидани Андоз аз арзиши иловагӣ (ААИ)</t>
  </si>
  <si>
    <t>«5 23 100»</t>
  </si>
  <si>
    <t>Интиқолоти асосии дохилӣ ба ташкилотҳои давлатии ғайримолиявӣ</t>
  </si>
  <si>
    <t>«5 23 200»</t>
  </si>
  <si>
    <t>Интиқолоти асосии дохилӣ ба ташкилотҳои давлатии молиявӣ</t>
  </si>
  <si>
    <t>«5 23 300»</t>
  </si>
  <si>
    <t>Интиқолоти асосии дохилӣ ба корхонаҳои хусусии ғайримолиявӣ</t>
  </si>
  <si>
    <t>«5 23 400»</t>
  </si>
  <si>
    <t>Интиқолоти асосии дохилӣ ба корхонаҳои хусусии молиявӣ</t>
  </si>
  <si>
    <t>«5 23 900»</t>
  </si>
  <si>
    <t>Интиқолоти асосии дохилие, ки ба дигар категорияҳо шомил нашудаанд</t>
  </si>
  <si>
    <t>«5 31 110»</t>
  </si>
  <si>
    <t>Зарари ҳолдингӣ - биноҳои истиқоматӣ</t>
  </si>
  <si>
    <t>«5 31 120»</t>
  </si>
  <si>
    <t>Зарари ҳолдингӣ - биноҳои ғайриистиқоматӣ</t>
  </si>
  <si>
    <t>«5 31 210»</t>
  </si>
  <si>
    <t xml:space="preserve">Зарари ҳолдингӣ - иншоот </t>
  </si>
  <si>
    <t>«5 31 220»</t>
  </si>
  <si>
    <t>Зарари ҳолдингӣ - дастгоҳҳои таҳвилдиҳӣ</t>
  </si>
  <si>
    <t>«5 31 310»</t>
  </si>
  <si>
    <t>Зарари ҳолдингӣ - таҷҳхизоти нақлиётӣ</t>
  </si>
  <si>
    <t>«5 31 320»</t>
  </si>
  <si>
    <t>Зарари ҳолдингӣ - дигар мошинҳо ва таҷҳизот</t>
  </si>
  <si>
    <t>«5 31 400»</t>
  </si>
  <si>
    <t>Зарари ҳолдингӣ – мебел, лавозимоти идоравӣ, асбобҳо, инвентари истеҳсолӣ ва хоҷагидорӣ</t>
  </si>
  <si>
    <t>«5 31 500»</t>
  </si>
  <si>
    <t>Зарари ҳолдингӣ - дороиҳои биологӣ</t>
  </si>
  <si>
    <t>«5 31 600»</t>
  </si>
  <si>
    <t>Зарари ҳолдингӣ - дороиҳои ғайримоддӣ</t>
  </si>
  <si>
    <t>«5 31 710»</t>
  </si>
  <si>
    <t>Зарари ҳолдингӣ - захираҳои стратегӣ</t>
  </si>
  <si>
    <t>«5 31 720»</t>
  </si>
  <si>
    <t>Зарари ҳолдингӣ -  дигар захираҳо</t>
  </si>
  <si>
    <t>«5 31 800»</t>
  </si>
  <si>
    <t>Зарари ҳолдингӣ - боигариҳо</t>
  </si>
  <si>
    <t>«5 32 100»</t>
  </si>
  <si>
    <t>Зарари ҳолдингӣ – замин</t>
  </si>
  <si>
    <t>«5 32 200»</t>
  </si>
  <si>
    <t>Зарари ҳолдингӣ - захираҳои зеризаминӣ</t>
  </si>
  <si>
    <t>«5 32 300»</t>
  </si>
  <si>
    <t>Зарари ҳолдингӣ - дигар захираҳои табиӣ</t>
  </si>
  <si>
    <t>«5 32 400»</t>
  </si>
  <si>
    <t>Зарари ҳолдингӣ - дороиҳои ғайримоддии истеҳсолнашуда</t>
  </si>
  <si>
    <t>«5 33 100»</t>
  </si>
  <si>
    <t>Зарари ҳолдингӣ - воситаҳои пулӣ дар хазина бо асъори хориҷӣ</t>
  </si>
  <si>
    <t>«5 33 200»</t>
  </si>
  <si>
    <t>Зарари ҳолдингӣ -  чекҳо бо асъори хориҷӣ</t>
  </si>
  <si>
    <t>«5 33 300»</t>
  </si>
  <si>
    <t>Зарари ҳолдингӣ -  дигар ҳисобҳо бо асъори хориҷӣ</t>
  </si>
  <si>
    <t>«5 33 400»</t>
  </si>
  <si>
    <t>Зарари ҳолдингӣ -  амонатҳои бонкӣ бо асъори хориҷӣ</t>
  </si>
  <si>
    <t>«5 33 500»</t>
  </si>
  <si>
    <t>Зарари ҳолдингӣ -  қарздории дебиторӣ</t>
  </si>
  <si>
    <t>«5 33 600»</t>
  </si>
  <si>
    <t>Зарари ҳолдингӣ -  сармоягузориҳо</t>
  </si>
  <si>
    <t>«5 34 110»</t>
  </si>
  <si>
    <t>Зарари ҳолдингӣ - воситаҳои пулӣ бо асъори хориҷӣ</t>
  </si>
  <si>
    <t>«5 34 120»</t>
  </si>
  <si>
    <t>«5 34 210»</t>
  </si>
  <si>
    <t>Зарари ҳолдингӣ -  ҲЯХ-и буҷети ҷумҳуриявӣ бо асъори хориҷӣ</t>
  </si>
  <si>
    <t>«5 34 220»</t>
  </si>
  <si>
    <t>Зарари ҳолдингӣ - ҲЯХ-и будҷети маҳаллӣ бо асъори хориҷӣ</t>
  </si>
  <si>
    <t>«5 34 230»</t>
  </si>
  <si>
    <t>Зарари ҳолдингӣ - ҲЯХ-и  ҳисоби махсуси БҶ  бо асъори хориҷӣ</t>
  </si>
  <si>
    <t>«5 34 240»</t>
  </si>
  <si>
    <t>Зарари ҳолдингӣ -  ҲЯХ-и ҳисоби махсуси БМ  бо асъори хориҷӣ</t>
  </si>
  <si>
    <t>«5 34 250»</t>
  </si>
  <si>
    <t>Зарари ҳолдингӣ -  ҲЯХ-и ҳисобҳои шахсии ташкилотҳои буҷетӣ бо асъори хориҷӣ</t>
  </si>
  <si>
    <t>«5 34 260»</t>
  </si>
  <si>
    <t>Зарари ҳолдингӣ -  ҳисоби интиқолии БҶ бо асъори хориҷӣ</t>
  </si>
  <si>
    <t>«5 34 300»</t>
  </si>
  <si>
    <t>«5 34 410»</t>
  </si>
  <si>
    <t>Зарари ҳолдингӣ - қоғазҳои қиматнок, ба ғайр аз саҳмияҳо</t>
  </si>
  <si>
    <t>«5 34 420»</t>
  </si>
  <si>
    <t>Зарари ҳолдингӣ - қарзҳо ва вомҳо</t>
  </si>
  <si>
    <t>«5 34 430»</t>
  </si>
  <si>
    <t>Зарари ҳолдингӣ -  саҳмияҳо ва дигар шаклҳои иштирок дар сармоя</t>
  </si>
  <si>
    <t>«5 34 440»</t>
  </si>
  <si>
    <t>Зарари ҳолдингӣ -  захираҳои техникии суғуртавӣ</t>
  </si>
  <si>
    <t>«5 34 450»</t>
  </si>
  <si>
    <t>«5 34 460»</t>
  </si>
  <si>
    <t>«5 34 470»</t>
  </si>
  <si>
    <t>Зарари ҳолдингӣ -  хароҷоти давраҳои оянда</t>
  </si>
  <si>
    <t>«5 35 100»</t>
  </si>
  <si>
    <t>Зарари ҳолдингӣ - Тиллои пулӣ</t>
  </si>
  <si>
    <t>«5 35 200»</t>
  </si>
  <si>
    <t>Зарари ҳолдингӣ – ҲМҚ (СДР)</t>
  </si>
  <si>
    <t>«5 36 100»</t>
  </si>
  <si>
    <t>Зарари ҳолдингӣ - қарздории кредиторӣ</t>
  </si>
  <si>
    <t>«5 37 100»</t>
  </si>
  <si>
    <t>«5 37 200»</t>
  </si>
  <si>
    <t>«5 37 300»</t>
  </si>
  <si>
    <t xml:space="preserve">Зарари ҳолдингӣ - қарзҳои   бонки ва вомҳо </t>
  </si>
  <si>
    <t>«5 37 400»</t>
  </si>
  <si>
    <t>Зарари ҳолдингӣ -  дигар қарзҳо ва вомҳо</t>
  </si>
  <si>
    <t>«5 37 500»</t>
  </si>
  <si>
    <t>«5 37 600»</t>
  </si>
  <si>
    <t>Зарари ҳолдингӣ - ӯҳдадориҳои марбут ба иҷораи молиявӣ</t>
  </si>
  <si>
    <t>«5 41 110»</t>
  </si>
  <si>
    <t>«5 41 120»</t>
  </si>
  <si>
    <t>«5 41 210»</t>
  </si>
  <si>
    <t>Дигар тағйиротҳо дар ҳаҷм - иншоотҳо</t>
  </si>
  <si>
    <t>«5 41 220»</t>
  </si>
  <si>
    <t>«5 41 310»</t>
  </si>
  <si>
    <t>«5 41 320»</t>
  </si>
  <si>
    <t>«5 41 400»</t>
  </si>
  <si>
    <t>Дигар тағйиротҳо дар ҳаҷм – мебел, лавозимоти идоравӣ, асбобҳо, инвентари истеҳсолӣ ва хочҷгидорӣ</t>
  </si>
  <si>
    <t>«5 41 500»</t>
  </si>
  <si>
    <t>Дигар тағйиротҳо дар ҳаҷм - дороиҳои биологиӣ</t>
  </si>
  <si>
    <t>«5 41 600»</t>
  </si>
  <si>
    <t>Дигар тағйиротх дар ҳаҷм - дороиҳои ғайримоддӣ</t>
  </si>
  <si>
    <t>«5 41 710»</t>
  </si>
  <si>
    <t>«5 41 720»</t>
  </si>
  <si>
    <t>«5 41 800»</t>
  </si>
  <si>
    <t>Дигар тағйиротҳо дар ҳаҷм - боигариҳо</t>
  </si>
  <si>
    <t>«5 42 100»</t>
  </si>
  <si>
    <t>Дигар тағйиротҳо дар ҳаҷм – замин</t>
  </si>
  <si>
    <t>«5 42 200»</t>
  </si>
  <si>
    <t>«5 42 300»</t>
  </si>
  <si>
    <t>«5 42 400»</t>
  </si>
  <si>
    <t>Дигар тағйиротҳо  дар ҳаҷм - дороиҳои ғайримоддии истеҳсолнашуда</t>
  </si>
  <si>
    <t>«5 43 100»</t>
  </si>
  <si>
    <t>«5 43 200»</t>
  </si>
  <si>
    <t>Дигар тағйиротҳо дар ҳаҷм – ҲЯХ  бо асъори миллӣ</t>
  </si>
  <si>
    <t>«5 43 300»</t>
  </si>
  <si>
    <t>«5 43 400»</t>
  </si>
  <si>
    <t>«5 43 510»</t>
  </si>
  <si>
    <t>«5 43 520»</t>
  </si>
  <si>
    <t>Дигар тағйиротҳо  дар ҳаҷм - қарзҳо ва вомҳо</t>
  </si>
  <si>
    <t>«5 43 530»</t>
  </si>
  <si>
    <t>Дигар тағйиротҳо  дар ҳаҷм - саҳмияҳо ва дигар шаклҳои иштирок дар сармоя</t>
  </si>
  <si>
    <t>«5 43 540»</t>
  </si>
  <si>
    <t>Дигар тағйиротҳо  дар ҳаҷм - захираҳои техникии суғуртавӣ</t>
  </si>
  <si>
    <t>«5 43 550»</t>
  </si>
  <si>
    <t>Дигар тағйиротҳо  дар ҳаҷм - амонатҳои бонкӣ</t>
  </si>
  <si>
    <t>«5 43 610»</t>
  </si>
  <si>
    <t>Хароҷоти қарзҳои шубҳанок</t>
  </si>
  <si>
    <t>«5 44 100»</t>
  </si>
  <si>
    <t>Дигар тағйиротҳо  дар ҳаҷм - воситаҳои пулӣ дар хазина</t>
  </si>
  <si>
    <t>«5 44 200»</t>
  </si>
  <si>
    <t>Дигар тағйиротҳо  дар ҳаҷм - ҲЯХ бо асъори хориҷӣ</t>
  </si>
  <si>
    <t>«5 44 300»</t>
  </si>
  <si>
    <t>Дигар тағйиротҳо  дар ҳаҷм - дигар ҳисобҳо бо асъори хориҷӣ</t>
  </si>
  <si>
    <t>«5 44 410»</t>
  </si>
  <si>
    <t>Дигар тағйиротҳо  дар ҳаҷм - қоғазҳои қиматнок, ба ғайр аз саҳмияҳо</t>
  </si>
  <si>
    <t>«5 44 420»</t>
  </si>
  <si>
    <t>«5 44 430»</t>
  </si>
  <si>
    <t>«5 44 440»</t>
  </si>
  <si>
    <t>«5 44 450»</t>
  </si>
  <si>
    <t>«5 44 510»</t>
  </si>
  <si>
    <t>«5 45 100»</t>
  </si>
  <si>
    <t>Дигар тағйиротҳо  дар ҳаҷм - тиллои пулӣ</t>
  </si>
  <si>
    <t>«5 45 200»</t>
  </si>
  <si>
    <t>Дигар тағйиротҳо  дар ҳаҷм – ҲМҚ ( СДР)</t>
  </si>
  <si>
    <t>«5 46 100»</t>
  </si>
  <si>
    <t>Дигар тағйиротҳо  дар ҳаҷм - қарздории кредиторӣ</t>
  </si>
  <si>
    <t>«5 46 200»</t>
  </si>
  <si>
    <t>«5 46 300»</t>
  </si>
  <si>
    <t xml:space="preserve">Дигар тағйиротҳо  дар ҳаҷм - қарзҳои  бонкӣ ва вомҳо  </t>
  </si>
  <si>
    <t>«5 46 400»</t>
  </si>
  <si>
    <t>Дигар тағйиротҳо  дар ҳаҷм - дигар қарздории кредиторӣ</t>
  </si>
  <si>
    <t>«5 46 500»</t>
  </si>
  <si>
    <t>«5 46 600»</t>
  </si>
  <si>
    <t>Дигар тағйиротҳо  дар ҳаҷм -ӯҳдадориҳои  марбут  ба  иҷораи  молиявӣ</t>
  </si>
  <si>
    <t>«5 47 100»</t>
  </si>
  <si>
    <t>«5 47 200»</t>
  </si>
  <si>
    <t>«5 47 300»</t>
  </si>
  <si>
    <t xml:space="preserve">Дигар тағйиротҳо  дар ҳаҷм – қарзҳои   бонкӣ ва вомҳо </t>
  </si>
  <si>
    <t>«5 47 400»</t>
  </si>
  <si>
    <t>«5 47 500»</t>
  </si>
  <si>
    <t>«5 47 600»</t>
  </si>
  <si>
    <t>Дигар тагйиротҳо  дар ҳаҷм - ӯҳдадориҳои  марбут  ба  иҷораи  молиявӣ</t>
  </si>
  <si>
    <t>«6 10 000»</t>
  </si>
  <si>
    <t xml:space="preserve">Маҷмӯи даромадҳо ва хароҷот </t>
  </si>
  <si>
    <t>«7 10 000»</t>
  </si>
  <si>
    <t xml:space="preserve">Дороиҳои иҷоравӣ </t>
  </si>
  <si>
    <t>«7 20 000»</t>
  </si>
  <si>
    <t xml:space="preserve">Арзишхои молию моддии ба амонати масъулиятдор кабулшуда </t>
  </si>
  <si>
    <t>«7 30 000»</t>
  </si>
  <si>
    <t xml:space="preserve">Варақаҳои  ҳисоботашон қатъӣ </t>
  </si>
  <si>
    <t>«7 40 000»</t>
  </si>
  <si>
    <t xml:space="preserve">Ҳуҷҷатҳои пулӣ </t>
  </si>
  <si>
    <t>«7 50 000»</t>
  </si>
  <si>
    <t xml:space="preserve">Қарздории соқитшудаи дебиторони  қобилияти пардохт надошта </t>
  </si>
  <si>
    <t>«7 60 000»</t>
  </si>
  <si>
    <t xml:space="preserve">Қарздории хонандагон  ва донишчуён оиди  дороиҳои арзишноки бозгардонида нашуда </t>
  </si>
  <si>
    <t>«7 70 000»</t>
  </si>
  <si>
    <t xml:space="preserve">Ҷоизаҳо ва ҷомҳои гузарандаи варзишӣ </t>
  </si>
  <si>
    <t>«7 80 000»</t>
  </si>
  <si>
    <t xml:space="preserve">Роҳхатҳои пардохтнашуда (ройгон) </t>
  </si>
  <si>
    <t>«7 90 000»</t>
  </si>
  <si>
    <t>Ҳуҷҷатҳои ҳисоббаробаркунии мунтазири иҷроиш</t>
  </si>
  <si>
    <t>Дт</t>
  </si>
  <si>
    <t>Кт</t>
  </si>
  <si>
    <t>Банк</t>
  </si>
  <si>
    <t>Денежные средства в национальной валюте</t>
  </si>
  <si>
    <t>касса</t>
  </si>
  <si>
    <t>ЕКС лицевых счетов бюджетных средств МБ бюджетных организаций в национальной валюте</t>
  </si>
  <si>
    <t>Зарплата к выплате</t>
  </si>
  <si>
    <t>ЗП</t>
  </si>
  <si>
    <t>Поступление будущих периодов (обязательства перед местным бюджетом)</t>
  </si>
  <si>
    <t>Поступление будущих периодов (обязательства перед республиканским бюджетом)</t>
  </si>
  <si>
    <t>авансы полученные</t>
  </si>
  <si>
    <t>Счета к оплате</t>
  </si>
  <si>
    <t xml:space="preserve">Прочие авансы полученные </t>
  </si>
  <si>
    <t xml:space="preserve">прочие счета к оплате </t>
  </si>
  <si>
    <t>Основные средства</t>
  </si>
  <si>
    <t>Нематериальные активы</t>
  </si>
  <si>
    <t>Доходы</t>
  </si>
  <si>
    <t>Свод доходов и расходов</t>
  </si>
  <si>
    <t>Номгуй</t>
  </si>
  <si>
    <t>Активный счёт</t>
  </si>
  <si>
    <t>Контрактивный счёт</t>
  </si>
  <si>
    <t>Вид счёта</t>
  </si>
  <si>
    <t>Пассивный счёт</t>
  </si>
  <si>
    <t>Расходы</t>
  </si>
  <si>
    <t>Сальдо 01.01.26</t>
  </si>
  <si>
    <t>Гардиши давра</t>
  </si>
  <si>
    <t>Сальдо 31.01.26</t>
  </si>
  <si>
    <t>Износ / амортизация</t>
  </si>
  <si>
    <t>Капитал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</si>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</sst>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₽_-;\-* #,##0.00\ _₽_-;_-* &quot;-&quot;??\ _₽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0"/>
      <color theme="1"/>
      <name val="Times New Roman Tj"/>
      <charset val="204"/>
    </font>
    <font>
      <sz val="10"/>
      <color theme="1"/>
      <name val="Times New Roman Tj"/>
      <charset val="204"/>
    </font>
    <font>
      <sz val="10"/>
      <color rgb="FF000000"/>
      <name val="Times New Roman Tj"/>
      <charset val="204"/>
    </font>
    <font>
      <b/>
      <sz val="9"/>
      <color theme="1"/>
      <name val="Times New Roman Tj"/>
      <charset val="204"/>
    </font>
    <font>
      <b/>
      <sz val="10"/>
      <color theme="1"/>
      <name val="Times New Roman Tj"/>
      <charset val="204"/>
    </font>
    <font>
      <b/>
      <sz val="10"/>
      <color rgb="FF000000"/>
      <name val="Times New Roman Tj"/>
      <charset val="204"/>
    </font>
    <font>
      <sz val="10"/>
      <name val="Times New Roman Tj"/>
      <charset val="204"/>
    </font>
    <font>
      <i/>
      <sz val="10"/>
      <color rgb="FF000000"/>
      <name val="Times New Roman Tj"/>
      <charset val="204"/>
    </font>
    <font>
      <i/>
      <sz val="10"/>
      <color rgb="FF0070C0"/>
      <name val="Times New Roman Tj"/>
      <charset val="204"/>
    </font>
    <font>
      <sz val="10"/>
      <name val="Times New Roman"/>
      <family val="1"/>
      <charset val="204"/>
    </font>
    <font>
      <sz val="10"/>
      <color rgb="FF00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i/>
      <sz val="10"/>
      <color rgb="FF0070C0"/>
      <name val="Calibri"/>
      <family val="2"/>
      <charset val="204"/>
      <scheme val="minor"/>
    </font>
    <font>
      <i/>
      <sz val="9"/>
      <color rgb="FF0070C0"/>
      <name val="Calibri"/>
      <family val="2"/>
      <charset val="204"/>
      <scheme val="minor"/>
    </font>
    <font>
      <i/>
      <sz val="10"/>
      <color rgb="FF0070C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6" fillId="0" borderId="0"/>
    <xf numFmtId="0" fontId="16" fillId="0" borderId="0"/>
    <xf numFmtId="0" fontId="5" fillId="0" borderId="0"/>
    <xf numFmtId="0" fontId="25" fillId="0" borderId="0"/>
    <xf numFmtId="43" fontId="26" fillId="0" borderId="0" applyFont="0" applyFill="0" applyBorder="0" applyAlignment="0" applyProtection="0"/>
  </cellStyleXfs>
  <cellXfs count="90">
    <xf numFmtId="0" fontId="0" fillId="0" borderId="0" xfId="0"/>
    <xf numFmtId="0" fontId="11" fillId="3" borderId="3" xfId="3" applyFont="1" applyFill="1" applyBorder="1" applyAlignment="1">
      <alignment horizontal="center" vertical="center"/>
    </xf>
    <xf numFmtId="0" fontId="10" fillId="3" borderId="2" xfId="3" applyFont="1" applyFill="1" applyBorder="1" applyAlignment="1">
      <alignment horizontal="center" vertical="center" textRotation="90"/>
    </xf>
    <xf numFmtId="0" fontId="5" fillId="0" borderId="0" xfId="3"/>
    <xf numFmtId="2" fontId="17" fillId="0" borderId="8" xfId="3" applyNumberFormat="1" applyFont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/>
    </xf>
    <xf numFmtId="0" fontId="9" fillId="0" borderId="9" xfId="3" applyFont="1" applyBorder="1" applyAlignment="1">
      <alignment vertical="center" wrapText="1"/>
    </xf>
    <xf numFmtId="2" fontId="17" fillId="0" borderId="5" xfId="3" applyNumberFormat="1" applyFont="1" applyBorder="1" applyAlignment="1">
      <alignment horizontal="center" vertical="center" wrapText="1"/>
    </xf>
    <xf numFmtId="0" fontId="9" fillId="0" borderId="5" xfId="3" applyFont="1" applyBorder="1" applyAlignment="1">
      <alignment vertical="center" wrapText="1"/>
    </xf>
    <xf numFmtId="0" fontId="13" fillId="0" borderId="5" xfId="3" applyFont="1" applyBorder="1" applyAlignment="1">
      <alignment vertical="center" wrapText="1"/>
    </xf>
    <xf numFmtId="0" fontId="8" fillId="0" borderId="5" xfId="3" applyFont="1" applyBorder="1" applyAlignment="1">
      <alignment vertical="center" wrapText="1"/>
    </xf>
    <xf numFmtId="0" fontId="14" fillId="0" borderId="5" xfId="3" applyFont="1" applyBorder="1" applyAlignment="1">
      <alignment vertical="center" wrapText="1"/>
    </xf>
    <xf numFmtId="2" fontId="19" fillId="0" borderId="5" xfId="3" applyNumberFormat="1" applyFont="1" applyBorder="1" applyAlignment="1">
      <alignment horizontal="center" vertical="center" wrapText="1"/>
    </xf>
    <xf numFmtId="0" fontId="20" fillId="0" borderId="5" xfId="3" applyFont="1" applyBorder="1" applyAlignment="1">
      <alignment horizontal="center" vertical="center"/>
    </xf>
    <xf numFmtId="0" fontId="15" fillId="0" borderId="5" xfId="3" applyFont="1" applyBorder="1" applyAlignment="1">
      <alignment vertical="center" wrapText="1"/>
    </xf>
    <xf numFmtId="0" fontId="18" fillId="3" borderId="5" xfId="3" applyFont="1" applyFill="1" applyBorder="1" applyAlignment="1">
      <alignment horizontal="center" vertical="center"/>
    </xf>
    <xf numFmtId="0" fontId="20" fillId="2" borderId="5" xfId="3" applyFont="1" applyFill="1" applyBorder="1" applyAlignment="1">
      <alignment horizontal="center" vertical="center"/>
    </xf>
    <xf numFmtId="0" fontId="18" fillId="2" borderId="5" xfId="3" applyFont="1" applyFill="1" applyBorder="1" applyAlignment="1">
      <alignment horizontal="center" vertical="center"/>
    </xf>
    <xf numFmtId="0" fontId="21" fillId="0" borderId="5" xfId="3" applyFont="1" applyBorder="1"/>
    <xf numFmtId="0" fontId="21" fillId="0" borderId="0" xfId="3" applyFont="1"/>
    <xf numFmtId="0" fontId="9" fillId="0" borderId="7" xfId="3" applyFont="1" applyBorder="1" applyAlignment="1">
      <alignment vertical="center" wrapText="1"/>
    </xf>
    <xf numFmtId="0" fontId="20" fillId="2" borderId="8" xfId="3" applyFont="1" applyFill="1" applyBorder="1" applyAlignment="1">
      <alignment horizontal="center" vertical="center"/>
    </xf>
    <xf numFmtId="0" fontId="18" fillId="2" borderId="8" xfId="3" applyFont="1" applyFill="1" applyBorder="1" applyAlignment="1">
      <alignment horizontal="center" vertical="center"/>
    </xf>
    <xf numFmtId="0" fontId="8" fillId="0" borderId="6" xfId="3" applyFont="1" applyBorder="1" applyAlignment="1">
      <alignment vertical="center" wrapText="1"/>
    </xf>
    <xf numFmtId="2" fontId="17" fillId="3" borderId="5" xfId="3" applyNumberFormat="1" applyFont="1" applyFill="1" applyBorder="1" applyAlignment="1">
      <alignment horizontal="center" vertical="center" wrapText="1"/>
    </xf>
    <xf numFmtId="0" fontId="18" fillId="3" borderId="8" xfId="3" applyFont="1" applyFill="1" applyBorder="1" applyAlignment="1">
      <alignment horizontal="center" vertical="center"/>
    </xf>
    <xf numFmtId="0" fontId="9" fillId="3" borderId="5" xfId="3" applyFont="1" applyFill="1" applyBorder="1" applyAlignment="1">
      <alignment vertical="center" wrapText="1"/>
    </xf>
    <xf numFmtId="0" fontId="13" fillId="3" borderId="5" xfId="3" applyFont="1" applyFill="1" applyBorder="1" applyAlignment="1">
      <alignment vertical="center" wrapText="1"/>
    </xf>
    <xf numFmtId="0" fontId="7" fillId="0" borderId="5" xfId="3" applyFont="1" applyBorder="1" applyAlignment="1">
      <alignment vertical="center" wrapText="1"/>
    </xf>
    <xf numFmtId="0" fontId="22" fillId="0" borderId="5" xfId="3" applyFont="1" applyBorder="1"/>
    <xf numFmtId="0" fontId="12" fillId="0" borderId="5" xfId="3" applyFont="1" applyBorder="1" applyAlignment="1">
      <alignment vertical="center" wrapText="1"/>
    </xf>
    <xf numFmtId="0" fontId="5" fillId="0" borderId="0" xfId="3" applyAlignment="1">
      <alignment horizontal="center" vertical="center"/>
    </xf>
    <xf numFmtId="0" fontId="8" fillId="0" borderId="0" xfId="3" applyFont="1" applyAlignment="1">
      <alignment wrapText="1"/>
    </xf>
    <xf numFmtId="0" fontId="23" fillId="0" borderId="0" xfId="0" applyFont="1" applyAlignment="1">
      <alignment horizontal="center" vertical="center"/>
    </xf>
    <xf numFmtId="0" fontId="0" fillId="0" borderId="1" xfId="0" applyBorder="1"/>
    <xf numFmtId="0" fontId="9" fillId="0" borderId="4" xfId="3" applyFont="1" applyBorder="1" applyAlignment="1">
      <alignment vertical="center" wrapText="1"/>
    </xf>
    <xf numFmtId="0" fontId="4" fillId="0" borderId="1" xfId="3" applyFont="1" applyBorder="1"/>
    <xf numFmtId="0" fontId="3" fillId="0" borderId="0" xfId="3" applyFont="1"/>
    <xf numFmtId="0" fontId="2" fillId="0" borderId="0" xfId="3" applyFont="1"/>
    <xf numFmtId="0" fontId="2" fillId="0" borderId="0" xfId="3" applyFont="1" applyAlignment="1">
      <alignment wrapText="1"/>
    </xf>
    <xf numFmtId="0" fontId="5" fillId="3" borderId="0" xfId="3" applyFill="1"/>
    <xf numFmtId="0" fontId="5" fillId="4" borderId="0" xfId="3" applyFill="1"/>
    <xf numFmtId="0" fontId="0" fillId="0" borderId="1" xfId="0" applyBorder="1" applyAlignment="1">
      <alignment wrapText="1"/>
    </xf>
    <xf numFmtId="0" fontId="1" fillId="0" borderId="0" xfId="3" applyFont="1"/>
    <xf numFmtId="0" fontId="0" fillId="0" borderId="0" xfId="0" applyAlignment="1">
      <alignment wrapText="1"/>
    </xf>
    <xf numFmtId="2" fontId="0" fillId="0" borderId="1" xfId="0" applyNumberFormat="1" applyBorder="1"/>
    <xf numFmtId="2" fontId="0" fillId="0" borderId="1" xfId="0" applyNumberFormat="1" applyBorder="1" applyAlignment="1">
      <alignment wrapText="1"/>
    </xf>
    <xf numFmtId="2" fontId="0" fillId="0" borderId="1" xfId="0" applyNumberFormat="1" applyFill="1" applyBorder="1"/>
    <xf numFmtId="43" fontId="0" fillId="0" borderId="1" xfId="5" applyFont="1" applyBorder="1" applyAlignment="1">
      <alignment wrapText="1"/>
    </xf>
    <xf numFmtId="43" fontId="0" fillId="0" borderId="1" xfId="5" applyFont="1" applyBorder="1"/>
    <xf numFmtId="2" fontId="0" fillId="0" borderId="13" xfId="0" applyNumberFormat="1" applyBorder="1"/>
    <xf numFmtId="0" fontId="0" fillId="0" borderId="13" xfId="0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43" fontId="0" fillId="0" borderId="13" xfId="5" applyFont="1" applyBorder="1" applyAlignment="1">
      <alignment wrapText="1"/>
    </xf>
    <xf numFmtId="43" fontId="0" fillId="0" borderId="13" xfId="5" applyFont="1" applyBorder="1"/>
    <xf numFmtId="2" fontId="0" fillId="0" borderId="13" xfId="0" applyNumberFormat="1" applyBorder="1" applyAlignment="1">
      <alignment wrapText="1"/>
    </xf>
    <xf numFmtId="0" fontId="0" fillId="0" borderId="11" xfId="0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29" xfId="0" applyBorder="1" applyAlignment="1">
      <alignment horizontal="center" vertical="center" wrapText="1"/>
    </xf>
    <xf numFmtId="2" fontId="0" fillId="0" borderId="1" xfId="0" applyNumberFormat="1" applyFill="1" applyBorder="1" applyAlignment="1">
      <alignment wrapText="1"/>
    </xf>
    <xf numFmtId="0" fontId="24" fillId="0" borderId="1" xfId="0" applyFont="1" applyBorder="1" applyAlignment="1">
      <alignment horizontal="center"/>
    </xf>
    <xf numFmtId="43" fontId="24" fillId="0" borderId="1" xfId="5" applyFont="1" applyBorder="1"/>
    <xf numFmtId="0" fontId="0" fillId="0" borderId="17" xfId="0" applyBorder="1"/>
    <xf numFmtId="0" fontId="0" fillId="0" borderId="17" xfId="0" applyBorder="1" applyAlignment="1">
      <alignment wrapText="1"/>
    </xf>
    <xf numFmtId="0" fontId="24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/>
    </xf>
  </cellXfs>
  <cellStyles count="6">
    <cellStyle name="Обычный" xfId="0" builtinId="0"/>
    <cellStyle name="Обычный 2" xfId="1"/>
    <cellStyle name="Обычный 3" xfId="2"/>
    <cellStyle name="Обычный 4" xfId="3"/>
    <cellStyle name="Обычный 5" xfId="4"/>
    <cellStyle name="Финансовый" xfId="5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2"/>
  <sheetViews>
    <sheetView showGridLines="0" zoomScale="85" zoomScaleNormal="85" zoomScaleSheetLayoutView="100" workbookViewId="0">
      <pane ySplit="1" topLeftCell="A749" activePane="bottomLeft" state="frozen"/>
      <selection pane="bottomLeft" activeCell="B772" sqref="B772"/>
    </sheetView>
  </sheetViews>
  <sheetFormatPr defaultColWidth="9" defaultRowHeight="14.4" x14ac:dyDescent="0.3"/>
  <cols>
    <col min="1" max="1" width="10.6640625" style="3" customWidth="1"/>
    <col min="2" max="2" width="96" style="32" customWidth="1"/>
    <col min="3" max="3" width="3.6640625" style="31" customWidth="1"/>
    <col min="4" max="4" width="44.33203125" style="3" customWidth="1"/>
    <col min="5" max="16384" width="9" style="3"/>
  </cols>
  <sheetData>
    <row r="1" spans="1:5" ht="60" customHeight="1" x14ac:dyDescent="0.3">
      <c r="A1" s="1" t="s">
        <v>9</v>
      </c>
      <c r="B1" s="1" t="s">
        <v>11</v>
      </c>
      <c r="C1" s="2" t="s">
        <v>10</v>
      </c>
    </row>
    <row r="2" spans="1:5" x14ac:dyDescent="0.3">
      <c r="A2" s="4" t="s">
        <v>12</v>
      </c>
      <c r="B2" s="35" t="s">
        <v>13</v>
      </c>
      <c r="C2" s="5">
        <v>1</v>
      </c>
      <c r="D2" s="36" t="s">
        <v>1770</v>
      </c>
      <c r="E2" s="37" t="s">
        <v>1771</v>
      </c>
    </row>
    <row r="3" spans="1:5" ht="15.75" customHeight="1" x14ac:dyDescent="0.3">
      <c r="A3" s="4" t="s">
        <v>14</v>
      </c>
      <c r="B3" s="6" t="s">
        <v>15</v>
      </c>
      <c r="C3" s="5">
        <v>1</v>
      </c>
    </row>
    <row r="4" spans="1:5" x14ac:dyDescent="0.3">
      <c r="A4" s="4" t="s">
        <v>16</v>
      </c>
      <c r="B4" s="6" t="s">
        <v>17</v>
      </c>
      <c r="C4" s="5">
        <v>1</v>
      </c>
    </row>
    <row r="5" spans="1:5" x14ac:dyDescent="0.3">
      <c r="A5" s="4" t="s">
        <v>18</v>
      </c>
      <c r="B5" s="6" t="s">
        <v>19</v>
      </c>
      <c r="C5" s="5">
        <v>1</v>
      </c>
    </row>
    <row r="6" spans="1:5" x14ac:dyDescent="0.3">
      <c r="A6" s="4" t="s">
        <v>20</v>
      </c>
      <c r="B6" s="6" t="s">
        <v>21</v>
      </c>
      <c r="C6" s="5">
        <v>1</v>
      </c>
    </row>
    <row r="7" spans="1:5" x14ac:dyDescent="0.3">
      <c r="A7" s="4" t="s">
        <v>22</v>
      </c>
      <c r="B7" s="6" t="s">
        <v>23</v>
      </c>
      <c r="C7" s="5">
        <v>1</v>
      </c>
    </row>
    <row r="8" spans="1:5" x14ac:dyDescent="0.3">
      <c r="A8" s="4" t="s">
        <v>24</v>
      </c>
      <c r="B8" s="6" t="s">
        <v>25</v>
      </c>
      <c r="C8" s="5">
        <v>1</v>
      </c>
    </row>
    <row r="9" spans="1:5" x14ac:dyDescent="0.3">
      <c r="A9" s="4" t="s">
        <v>26</v>
      </c>
      <c r="B9" s="6" t="s">
        <v>27</v>
      </c>
      <c r="C9" s="5">
        <v>1</v>
      </c>
    </row>
    <row r="10" spans="1:5" x14ac:dyDescent="0.3">
      <c r="A10" s="7" t="s">
        <v>28</v>
      </c>
      <c r="B10" s="8" t="s">
        <v>29</v>
      </c>
      <c r="C10" s="5">
        <v>1</v>
      </c>
    </row>
    <row r="11" spans="1:5" x14ac:dyDescent="0.3">
      <c r="A11" s="7" t="s">
        <v>30</v>
      </c>
      <c r="B11" s="8" t="s">
        <v>31</v>
      </c>
      <c r="C11" s="5">
        <v>1</v>
      </c>
    </row>
    <row r="12" spans="1:5" x14ac:dyDescent="0.3">
      <c r="A12" s="7" t="s">
        <v>32</v>
      </c>
      <c r="B12" s="8" t="s">
        <v>33</v>
      </c>
      <c r="C12" s="5">
        <v>1</v>
      </c>
    </row>
    <row r="13" spans="1:5" x14ac:dyDescent="0.3">
      <c r="A13" s="7" t="s">
        <v>34</v>
      </c>
      <c r="B13" s="8" t="s">
        <v>35</v>
      </c>
      <c r="C13" s="5">
        <v>1</v>
      </c>
    </row>
    <row r="14" spans="1:5" x14ac:dyDescent="0.3">
      <c r="A14" s="7" t="s">
        <v>36</v>
      </c>
      <c r="B14" s="8" t="s">
        <v>37</v>
      </c>
      <c r="C14" s="5">
        <v>1</v>
      </c>
    </row>
    <row r="15" spans="1:5" x14ac:dyDescent="0.3">
      <c r="A15" s="7" t="s">
        <v>38</v>
      </c>
      <c r="B15" s="8" t="s">
        <v>39</v>
      </c>
      <c r="C15" s="5">
        <v>1</v>
      </c>
    </row>
    <row r="16" spans="1:5" x14ac:dyDescent="0.3">
      <c r="A16" s="7" t="s">
        <v>40</v>
      </c>
      <c r="B16" s="8" t="s">
        <v>41</v>
      </c>
      <c r="C16" s="5">
        <v>1</v>
      </c>
    </row>
    <row r="17" spans="1:5" x14ac:dyDescent="0.3">
      <c r="A17" s="7" t="s">
        <v>42</v>
      </c>
      <c r="B17" s="8" t="s">
        <v>43</v>
      </c>
      <c r="C17" s="5">
        <v>1</v>
      </c>
    </row>
    <row r="18" spans="1:5" ht="32.25" customHeight="1" x14ac:dyDescent="0.3">
      <c r="A18" s="7" t="s">
        <v>0</v>
      </c>
      <c r="B18" s="8" t="s">
        <v>44</v>
      </c>
      <c r="C18" s="5">
        <v>1</v>
      </c>
      <c r="D18" s="39" t="s">
        <v>1772</v>
      </c>
      <c r="E18" s="38" t="s">
        <v>1769</v>
      </c>
    </row>
    <row r="19" spans="1:5" ht="26.4" x14ac:dyDescent="0.3">
      <c r="A19" s="7" t="s">
        <v>45</v>
      </c>
      <c r="B19" s="9" t="s">
        <v>46</v>
      </c>
      <c r="C19" s="5">
        <v>1</v>
      </c>
    </row>
    <row r="20" spans="1:5" x14ac:dyDescent="0.3">
      <c r="A20" s="7" t="s">
        <v>47</v>
      </c>
      <c r="B20" s="8" t="s">
        <v>48</v>
      </c>
      <c r="C20" s="5">
        <v>1</v>
      </c>
    </row>
    <row r="21" spans="1:5" x14ac:dyDescent="0.3">
      <c r="A21" s="7" t="s">
        <v>49</v>
      </c>
      <c r="B21" s="8" t="s">
        <v>50</v>
      </c>
      <c r="C21" s="5">
        <v>1</v>
      </c>
    </row>
    <row r="22" spans="1:5" x14ac:dyDescent="0.3">
      <c r="A22" s="7" t="s">
        <v>51</v>
      </c>
      <c r="B22" s="9" t="s">
        <v>52</v>
      </c>
      <c r="C22" s="5">
        <v>1</v>
      </c>
    </row>
    <row r="23" spans="1:5" x14ac:dyDescent="0.3">
      <c r="A23" s="7" t="s">
        <v>53</v>
      </c>
      <c r="B23" s="10" t="s">
        <v>54</v>
      </c>
      <c r="C23" s="5">
        <v>1</v>
      </c>
    </row>
    <row r="24" spans="1:5" x14ac:dyDescent="0.3">
      <c r="A24" s="7" t="s">
        <v>55</v>
      </c>
      <c r="B24" s="10" t="s">
        <v>56</v>
      </c>
      <c r="C24" s="5">
        <v>1</v>
      </c>
    </row>
    <row r="25" spans="1:5" x14ac:dyDescent="0.3">
      <c r="A25" s="7" t="s">
        <v>57</v>
      </c>
      <c r="B25" s="10" t="s">
        <v>58</v>
      </c>
      <c r="C25" s="5">
        <v>1</v>
      </c>
    </row>
    <row r="26" spans="1:5" x14ac:dyDescent="0.3">
      <c r="A26" s="7" t="s">
        <v>59</v>
      </c>
      <c r="B26" s="10" t="s">
        <v>60</v>
      </c>
      <c r="C26" s="5">
        <v>1</v>
      </c>
    </row>
    <row r="27" spans="1:5" x14ac:dyDescent="0.3">
      <c r="A27" s="7" t="s">
        <v>61</v>
      </c>
      <c r="B27" s="10" t="s">
        <v>62</v>
      </c>
      <c r="C27" s="5">
        <v>1</v>
      </c>
    </row>
    <row r="28" spans="1:5" x14ac:dyDescent="0.3">
      <c r="A28" s="7" t="s">
        <v>63</v>
      </c>
      <c r="B28" s="10" t="s">
        <v>64</v>
      </c>
      <c r="C28" s="5">
        <v>1</v>
      </c>
    </row>
    <row r="29" spans="1:5" x14ac:dyDescent="0.3">
      <c r="A29" s="7" t="s">
        <v>65</v>
      </c>
      <c r="B29" s="10" t="s">
        <v>66</v>
      </c>
      <c r="C29" s="5">
        <v>1</v>
      </c>
    </row>
    <row r="30" spans="1:5" x14ac:dyDescent="0.3">
      <c r="A30" s="7" t="s">
        <v>67</v>
      </c>
      <c r="B30" s="10" t="s">
        <v>68</v>
      </c>
      <c r="C30" s="5">
        <v>1</v>
      </c>
    </row>
    <row r="31" spans="1:5" x14ac:dyDescent="0.3">
      <c r="A31" s="7" t="s">
        <v>69</v>
      </c>
      <c r="B31" s="10" t="s">
        <v>70</v>
      </c>
      <c r="C31" s="5">
        <v>1</v>
      </c>
    </row>
    <row r="32" spans="1:5" x14ac:dyDescent="0.3">
      <c r="A32" s="7" t="s">
        <v>71</v>
      </c>
      <c r="B32" s="8" t="s">
        <v>72</v>
      </c>
      <c r="C32" s="5">
        <v>1</v>
      </c>
    </row>
    <row r="33" spans="1:3" x14ac:dyDescent="0.3">
      <c r="A33" s="7" t="s">
        <v>73</v>
      </c>
      <c r="B33" s="8" t="s">
        <v>74</v>
      </c>
      <c r="C33" s="5">
        <v>1</v>
      </c>
    </row>
    <row r="34" spans="1:3" x14ac:dyDescent="0.3">
      <c r="A34" s="7" t="s">
        <v>75</v>
      </c>
      <c r="B34" s="8" t="s">
        <v>76</v>
      </c>
      <c r="C34" s="5">
        <v>1</v>
      </c>
    </row>
    <row r="35" spans="1:3" x14ac:dyDescent="0.3">
      <c r="A35" s="7" t="s">
        <v>77</v>
      </c>
      <c r="B35" s="8" t="s">
        <v>78</v>
      </c>
      <c r="C35" s="5">
        <v>1</v>
      </c>
    </row>
    <row r="36" spans="1:3" x14ac:dyDescent="0.3">
      <c r="A36" s="7" t="s">
        <v>79</v>
      </c>
      <c r="B36" s="8" t="s">
        <v>80</v>
      </c>
      <c r="C36" s="5">
        <v>1</v>
      </c>
    </row>
    <row r="37" spans="1:3" x14ac:dyDescent="0.3">
      <c r="A37" s="7" t="s">
        <v>81</v>
      </c>
      <c r="B37" s="8" t="s">
        <v>82</v>
      </c>
      <c r="C37" s="5">
        <v>1</v>
      </c>
    </row>
    <row r="38" spans="1:3" x14ac:dyDescent="0.3">
      <c r="A38" s="7" t="s">
        <v>83</v>
      </c>
      <c r="B38" s="8" t="s">
        <v>84</v>
      </c>
      <c r="C38" s="5">
        <v>1</v>
      </c>
    </row>
    <row r="39" spans="1:3" x14ac:dyDescent="0.3">
      <c r="A39" s="7" t="s">
        <v>85</v>
      </c>
      <c r="B39" s="8" t="s">
        <v>86</v>
      </c>
      <c r="C39" s="5">
        <v>1</v>
      </c>
    </row>
    <row r="40" spans="1:3" x14ac:dyDescent="0.3">
      <c r="A40" s="7" t="s">
        <v>87</v>
      </c>
      <c r="B40" s="8" t="s">
        <v>88</v>
      </c>
      <c r="C40" s="5">
        <v>1</v>
      </c>
    </row>
    <row r="41" spans="1:3" x14ac:dyDescent="0.3">
      <c r="A41" s="7" t="s">
        <v>89</v>
      </c>
      <c r="B41" s="8" t="s">
        <v>90</v>
      </c>
      <c r="C41" s="5">
        <v>1</v>
      </c>
    </row>
    <row r="42" spans="1:3" x14ac:dyDescent="0.3">
      <c r="A42" s="7" t="s">
        <v>91</v>
      </c>
      <c r="B42" s="8" t="s">
        <v>92</v>
      </c>
      <c r="C42" s="5">
        <v>1</v>
      </c>
    </row>
    <row r="43" spans="1:3" x14ac:dyDescent="0.3">
      <c r="A43" s="7" t="s">
        <v>93</v>
      </c>
      <c r="B43" s="10" t="s">
        <v>94</v>
      </c>
      <c r="C43" s="5">
        <v>1</v>
      </c>
    </row>
    <row r="44" spans="1:3" x14ac:dyDescent="0.3">
      <c r="A44" s="7" t="s">
        <v>95</v>
      </c>
      <c r="B44" s="10" t="s">
        <v>96</v>
      </c>
      <c r="C44" s="5">
        <v>1</v>
      </c>
    </row>
    <row r="45" spans="1:3" x14ac:dyDescent="0.3">
      <c r="A45" s="7" t="s">
        <v>97</v>
      </c>
      <c r="B45" s="10" t="s">
        <v>98</v>
      </c>
      <c r="C45" s="5">
        <v>1</v>
      </c>
    </row>
    <row r="46" spans="1:3" x14ac:dyDescent="0.3">
      <c r="A46" s="7" t="s">
        <v>99</v>
      </c>
      <c r="B46" s="10" t="s">
        <v>100</v>
      </c>
      <c r="C46" s="5">
        <v>1</v>
      </c>
    </row>
    <row r="47" spans="1:3" x14ac:dyDescent="0.3">
      <c r="A47" s="7" t="s">
        <v>101</v>
      </c>
      <c r="B47" s="8" t="s">
        <v>102</v>
      </c>
      <c r="C47" s="5">
        <v>1</v>
      </c>
    </row>
    <row r="48" spans="1:3" x14ac:dyDescent="0.3">
      <c r="A48" s="7" t="s">
        <v>103</v>
      </c>
      <c r="B48" s="8" t="s">
        <v>104</v>
      </c>
      <c r="C48" s="5">
        <v>1</v>
      </c>
    </row>
    <row r="49" spans="1:3" x14ac:dyDescent="0.3">
      <c r="A49" s="7" t="s">
        <v>105</v>
      </c>
      <c r="B49" s="8" t="s">
        <v>106</v>
      </c>
      <c r="C49" s="5">
        <v>1</v>
      </c>
    </row>
    <row r="50" spans="1:3" x14ac:dyDescent="0.3">
      <c r="A50" s="7" t="s">
        <v>107</v>
      </c>
      <c r="B50" s="8" t="s">
        <v>108</v>
      </c>
      <c r="C50" s="5">
        <v>1</v>
      </c>
    </row>
    <row r="51" spans="1:3" x14ac:dyDescent="0.3">
      <c r="A51" s="7" t="s">
        <v>109</v>
      </c>
      <c r="B51" s="8" t="s">
        <v>110</v>
      </c>
      <c r="C51" s="5">
        <v>1</v>
      </c>
    </row>
    <row r="52" spans="1:3" x14ac:dyDescent="0.3">
      <c r="A52" s="7" t="s">
        <v>111</v>
      </c>
      <c r="B52" s="8" t="s">
        <v>112</v>
      </c>
      <c r="C52" s="5">
        <v>1</v>
      </c>
    </row>
    <row r="53" spans="1:3" x14ac:dyDescent="0.3">
      <c r="A53" s="7" t="s">
        <v>113</v>
      </c>
      <c r="B53" s="10" t="s">
        <v>114</v>
      </c>
      <c r="C53" s="5">
        <v>1</v>
      </c>
    </row>
    <row r="54" spans="1:3" x14ac:dyDescent="0.3">
      <c r="A54" s="7" t="s">
        <v>115</v>
      </c>
      <c r="B54" s="10" t="s">
        <v>116</v>
      </c>
      <c r="C54" s="5">
        <v>1</v>
      </c>
    </row>
    <row r="55" spans="1:3" x14ac:dyDescent="0.3">
      <c r="A55" s="7" t="s">
        <v>117</v>
      </c>
      <c r="B55" s="10" t="s">
        <v>118</v>
      </c>
      <c r="C55" s="5">
        <v>1</v>
      </c>
    </row>
    <row r="56" spans="1:3" x14ac:dyDescent="0.3">
      <c r="A56" s="7" t="s">
        <v>119</v>
      </c>
      <c r="B56" s="8" t="s">
        <v>120</v>
      </c>
      <c r="C56" s="5">
        <v>1</v>
      </c>
    </row>
    <row r="57" spans="1:3" x14ac:dyDescent="0.3">
      <c r="A57" s="7" t="s">
        <v>121</v>
      </c>
      <c r="B57" s="8" t="s">
        <v>122</v>
      </c>
      <c r="C57" s="5">
        <v>1</v>
      </c>
    </row>
    <row r="58" spans="1:3" x14ac:dyDescent="0.3">
      <c r="A58" s="7" t="s">
        <v>123</v>
      </c>
      <c r="B58" s="8" t="s">
        <v>124</v>
      </c>
      <c r="C58" s="5">
        <v>1</v>
      </c>
    </row>
    <row r="59" spans="1:3" x14ac:dyDescent="0.3">
      <c r="A59" s="7" t="s">
        <v>125</v>
      </c>
      <c r="B59" s="8" t="s">
        <v>126</v>
      </c>
      <c r="C59" s="5">
        <v>1</v>
      </c>
    </row>
    <row r="60" spans="1:3" x14ac:dyDescent="0.3">
      <c r="A60" s="7" t="s">
        <v>127</v>
      </c>
      <c r="B60" s="8" t="s">
        <v>128</v>
      </c>
      <c r="C60" s="5">
        <v>1</v>
      </c>
    </row>
    <row r="61" spans="1:3" x14ac:dyDescent="0.3">
      <c r="A61" s="7" t="s">
        <v>129</v>
      </c>
      <c r="B61" s="8" t="s">
        <v>130</v>
      </c>
      <c r="C61" s="5">
        <v>1</v>
      </c>
    </row>
    <row r="62" spans="1:3" x14ac:dyDescent="0.3">
      <c r="A62" s="7" t="s">
        <v>131</v>
      </c>
      <c r="B62" s="8" t="s">
        <v>132</v>
      </c>
      <c r="C62" s="5">
        <v>1</v>
      </c>
    </row>
    <row r="63" spans="1:3" x14ac:dyDescent="0.3">
      <c r="A63" s="7" t="s">
        <v>133</v>
      </c>
      <c r="B63" s="8" t="s">
        <v>134</v>
      </c>
      <c r="C63" s="5">
        <v>1</v>
      </c>
    </row>
    <row r="64" spans="1:3" x14ac:dyDescent="0.3">
      <c r="A64" s="7" t="s">
        <v>135</v>
      </c>
      <c r="B64" s="8" t="s">
        <v>126</v>
      </c>
      <c r="C64" s="5">
        <v>1</v>
      </c>
    </row>
    <row r="65" spans="1:3" x14ac:dyDescent="0.3">
      <c r="A65" s="7" t="s">
        <v>136</v>
      </c>
      <c r="B65" s="8" t="s">
        <v>128</v>
      </c>
      <c r="C65" s="5">
        <v>1</v>
      </c>
    </row>
    <row r="66" spans="1:3" x14ac:dyDescent="0.3">
      <c r="A66" s="7" t="s">
        <v>137</v>
      </c>
      <c r="B66" s="8" t="s">
        <v>138</v>
      </c>
      <c r="C66" s="5">
        <v>1</v>
      </c>
    </row>
    <row r="67" spans="1:3" x14ac:dyDescent="0.3">
      <c r="A67" s="7" t="s">
        <v>139</v>
      </c>
      <c r="B67" s="8" t="s">
        <v>132</v>
      </c>
      <c r="C67" s="5">
        <v>1</v>
      </c>
    </row>
    <row r="68" spans="1:3" x14ac:dyDescent="0.3">
      <c r="A68" s="7" t="s">
        <v>140</v>
      </c>
      <c r="B68" s="8" t="s">
        <v>141</v>
      </c>
      <c r="C68" s="5">
        <v>1</v>
      </c>
    </row>
    <row r="69" spans="1:3" x14ac:dyDescent="0.3">
      <c r="A69" s="7" t="s">
        <v>142</v>
      </c>
      <c r="B69" s="8" t="s">
        <v>143</v>
      </c>
      <c r="C69" s="5">
        <v>1</v>
      </c>
    </row>
    <row r="70" spans="1:3" x14ac:dyDescent="0.3">
      <c r="A70" s="7" t="s">
        <v>144</v>
      </c>
      <c r="B70" s="8" t="s">
        <v>145</v>
      </c>
      <c r="C70" s="5">
        <v>5</v>
      </c>
    </row>
    <row r="71" spans="1:3" x14ac:dyDescent="0.3">
      <c r="A71" s="7" t="s">
        <v>146</v>
      </c>
      <c r="B71" s="10" t="s">
        <v>147</v>
      </c>
      <c r="C71" s="5">
        <v>5</v>
      </c>
    </row>
    <row r="72" spans="1:3" x14ac:dyDescent="0.3">
      <c r="A72" s="7" t="s">
        <v>148</v>
      </c>
      <c r="B72" s="10" t="s">
        <v>149</v>
      </c>
      <c r="C72" s="5">
        <v>5</v>
      </c>
    </row>
    <row r="73" spans="1:3" x14ac:dyDescent="0.3">
      <c r="A73" s="7" t="s">
        <v>150</v>
      </c>
      <c r="B73" s="8" t="s">
        <v>151</v>
      </c>
      <c r="C73" s="5">
        <v>5</v>
      </c>
    </row>
    <row r="74" spans="1:3" x14ac:dyDescent="0.3">
      <c r="A74" s="7" t="s">
        <v>152</v>
      </c>
      <c r="B74" s="8" t="s">
        <v>153</v>
      </c>
      <c r="C74" s="5">
        <v>5</v>
      </c>
    </row>
    <row r="75" spans="1:3" x14ac:dyDescent="0.3">
      <c r="A75" s="7" t="s">
        <v>154</v>
      </c>
      <c r="B75" s="8" t="s">
        <v>126</v>
      </c>
      <c r="C75" s="5">
        <v>5</v>
      </c>
    </row>
    <row r="76" spans="1:3" x14ac:dyDescent="0.3">
      <c r="A76" s="7" t="s">
        <v>155</v>
      </c>
      <c r="B76" s="8" t="s">
        <v>128</v>
      </c>
      <c r="C76" s="5">
        <v>5</v>
      </c>
    </row>
    <row r="77" spans="1:3" x14ac:dyDescent="0.3">
      <c r="A77" s="7" t="s">
        <v>156</v>
      </c>
      <c r="B77" s="8" t="s">
        <v>157</v>
      </c>
      <c r="C77" s="5">
        <v>5</v>
      </c>
    </row>
    <row r="78" spans="1:3" x14ac:dyDescent="0.3">
      <c r="A78" s="7" t="s">
        <v>158</v>
      </c>
      <c r="B78" s="8" t="s">
        <v>132</v>
      </c>
      <c r="C78" s="5">
        <v>5</v>
      </c>
    </row>
    <row r="79" spans="1:3" x14ac:dyDescent="0.3">
      <c r="A79" s="7" t="s">
        <v>159</v>
      </c>
      <c r="B79" s="8" t="s">
        <v>126</v>
      </c>
      <c r="C79" s="5">
        <v>5</v>
      </c>
    </row>
    <row r="80" spans="1:3" x14ac:dyDescent="0.3">
      <c r="A80" s="7" t="s">
        <v>160</v>
      </c>
      <c r="B80" s="8" t="s">
        <v>128</v>
      </c>
      <c r="C80" s="5">
        <v>5</v>
      </c>
    </row>
    <row r="81" spans="1:5" x14ac:dyDescent="0.3">
      <c r="A81" s="7" t="s">
        <v>161</v>
      </c>
      <c r="B81" s="8" t="s">
        <v>157</v>
      </c>
      <c r="C81" s="5">
        <v>5</v>
      </c>
    </row>
    <row r="82" spans="1:5" x14ac:dyDescent="0.3">
      <c r="A82" s="7" t="s">
        <v>162</v>
      </c>
      <c r="B82" s="8" t="s">
        <v>132</v>
      </c>
      <c r="C82" s="5">
        <v>5</v>
      </c>
    </row>
    <row r="83" spans="1:5" x14ac:dyDescent="0.3">
      <c r="A83" s="7" t="s">
        <v>163</v>
      </c>
      <c r="B83" s="8" t="s">
        <v>164</v>
      </c>
      <c r="C83" s="5">
        <v>2</v>
      </c>
    </row>
    <row r="84" spans="1:5" x14ac:dyDescent="0.3">
      <c r="A84" s="7" t="s">
        <v>165</v>
      </c>
      <c r="B84" s="8" t="s">
        <v>166</v>
      </c>
      <c r="C84" s="5">
        <v>2</v>
      </c>
    </row>
    <row r="85" spans="1:5" x14ac:dyDescent="0.3">
      <c r="A85" s="7" t="s">
        <v>167</v>
      </c>
      <c r="B85" s="8" t="s">
        <v>168</v>
      </c>
      <c r="C85" s="5">
        <v>2</v>
      </c>
    </row>
    <row r="86" spans="1:5" x14ac:dyDescent="0.3">
      <c r="A86" s="7" t="s">
        <v>169</v>
      </c>
      <c r="B86" s="8" t="s">
        <v>170</v>
      </c>
      <c r="C86" s="5">
        <v>2</v>
      </c>
    </row>
    <row r="87" spans="1:5" x14ac:dyDescent="0.3">
      <c r="A87" s="7" t="s">
        <v>171</v>
      </c>
      <c r="B87" s="8" t="s">
        <v>172</v>
      </c>
      <c r="C87" s="5">
        <v>2</v>
      </c>
    </row>
    <row r="88" spans="1:5" x14ac:dyDescent="0.3">
      <c r="A88" s="7" t="s">
        <v>173</v>
      </c>
      <c r="B88" s="8" t="s">
        <v>174</v>
      </c>
      <c r="C88" s="5">
        <v>2</v>
      </c>
    </row>
    <row r="89" spans="1:5" x14ac:dyDescent="0.3">
      <c r="A89" s="7" t="s">
        <v>175</v>
      </c>
      <c r="B89" s="8" t="s">
        <v>176</v>
      </c>
      <c r="C89" s="5">
        <v>2</v>
      </c>
    </row>
    <row r="90" spans="1:5" x14ac:dyDescent="0.3">
      <c r="A90" s="7" t="s">
        <v>177</v>
      </c>
      <c r="B90" s="10" t="s">
        <v>178</v>
      </c>
      <c r="C90" s="5">
        <v>2</v>
      </c>
    </row>
    <row r="91" spans="1:5" x14ac:dyDescent="0.3">
      <c r="A91" s="7" t="s">
        <v>179</v>
      </c>
      <c r="B91" s="10" t="s">
        <v>180</v>
      </c>
      <c r="C91" s="5">
        <v>2</v>
      </c>
    </row>
    <row r="92" spans="1:5" x14ac:dyDescent="0.3">
      <c r="A92" s="7" t="s">
        <v>181</v>
      </c>
      <c r="B92" s="10" t="s">
        <v>182</v>
      </c>
      <c r="C92" s="5">
        <v>2</v>
      </c>
    </row>
    <row r="93" spans="1:5" x14ac:dyDescent="0.3">
      <c r="A93" s="7" t="s">
        <v>183</v>
      </c>
      <c r="B93" s="10" t="s">
        <v>184</v>
      </c>
      <c r="C93" s="5">
        <v>2</v>
      </c>
    </row>
    <row r="94" spans="1:5" x14ac:dyDescent="0.3">
      <c r="A94" s="7" t="s">
        <v>185</v>
      </c>
      <c r="B94" s="10" t="s">
        <v>186</v>
      </c>
      <c r="C94" s="5">
        <v>2</v>
      </c>
      <c r="D94" s="3" t="str">
        <f>B94</f>
        <v>Қарздориҳои дебитории шахсҳои ҳисобдеҳ</v>
      </c>
      <c r="E94" s="3">
        <v>10520</v>
      </c>
    </row>
    <row r="95" spans="1:5" x14ac:dyDescent="0.3">
      <c r="A95" s="7" t="s">
        <v>187</v>
      </c>
      <c r="B95" s="10" t="s">
        <v>188</v>
      </c>
      <c r="C95" s="5">
        <v>2</v>
      </c>
    </row>
    <row r="96" spans="1:5" x14ac:dyDescent="0.3">
      <c r="A96" s="7" t="s">
        <v>189</v>
      </c>
      <c r="B96" s="10" t="s">
        <v>190</v>
      </c>
      <c r="C96" s="5">
        <v>2</v>
      </c>
    </row>
    <row r="97" spans="1:3" x14ac:dyDescent="0.3">
      <c r="A97" s="7" t="s">
        <v>191</v>
      </c>
      <c r="B97" s="8" t="s">
        <v>192</v>
      </c>
      <c r="C97" s="5">
        <v>2</v>
      </c>
    </row>
    <row r="98" spans="1:3" x14ac:dyDescent="0.3">
      <c r="A98" s="7" t="s">
        <v>193</v>
      </c>
      <c r="B98" s="8" t="s">
        <v>194</v>
      </c>
      <c r="C98" s="5">
        <v>2</v>
      </c>
    </row>
    <row r="99" spans="1:3" x14ac:dyDescent="0.3">
      <c r="A99" s="7" t="s">
        <v>195</v>
      </c>
      <c r="B99" s="8" t="s">
        <v>196</v>
      </c>
      <c r="C99" s="5">
        <v>2</v>
      </c>
    </row>
    <row r="100" spans="1:3" x14ac:dyDescent="0.3">
      <c r="A100" s="7" t="s">
        <v>197</v>
      </c>
      <c r="B100" s="10" t="s">
        <v>198</v>
      </c>
      <c r="C100" s="5">
        <v>4</v>
      </c>
    </row>
    <row r="101" spans="1:3" x14ac:dyDescent="0.3">
      <c r="A101" s="7" t="s">
        <v>199</v>
      </c>
      <c r="B101" s="9" t="s">
        <v>200</v>
      </c>
      <c r="C101" s="5">
        <v>4</v>
      </c>
    </row>
    <row r="102" spans="1:3" x14ac:dyDescent="0.3">
      <c r="A102" s="7" t="s">
        <v>201</v>
      </c>
      <c r="B102" s="8" t="s">
        <v>202</v>
      </c>
      <c r="C102" s="5">
        <v>4</v>
      </c>
    </row>
    <row r="103" spans="1:3" x14ac:dyDescent="0.3">
      <c r="A103" s="7" t="s">
        <v>203</v>
      </c>
      <c r="B103" s="8" t="s">
        <v>204</v>
      </c>
      <c r="C103" s="5">
        <v>4</v>
      </c>
    </row>
    <row r="104" spans="1:3" x14ac:dyDescent="0.3">
      <c r="A104" s="7" t="s">
        <v>205</v>
      </c>
      <c r="B104" s="10" t="s">
        <v>206</v>
      </c>
      <c r="C104" s="5">
        <v>4</v>
      </c>
    </row>
    <row r="105" spans="1:3" ht="26.4" x14ac:dyDescent="0.3">
      <c r="A105" s="7" t="s">
        <v>207</v>
      </c>
      <c r="B105" s="10" t="s">
        <v>208</v>
      </c>
      <c r="C105" s="5">
        <v>4</v>
      </c>
    </row>
    <row r="106" spans="1:3" x14ac:dyDescent="0.3">
      <c r="A106" s="7" t="s">
        <v>209</v>
      </c>
      <c r="B106" s="8" t="s">
        <v>210</v>
      </c>
      <c r="C106" s="5">
        <v>4</v>
      </c>
    </row>
    <row r="107" spans="1:3" x14ac:dyDescent="0.3">
      <c r="A107" s="7" t="s">
        <v>211</v>
      </c>
      <c r="B107" s="11" t="s">
        <v>212</v>
      </c>
      <c r="C107" s="5">
        <v>2</v>
      </c>
    </row>
    <row r="108" spans="1:3" x14ac:dyDescent="0.3">
      <c r="A108" s="7" t="s">
        <v>213</v>
      </c>
      <c r="B108" s="11" t="s">
        <v>214</v>
      </c>
      <c r="C108" s="5">
        <v>2</v>
      </c>
    </row>
    <row r="109" spans="1:3" x14ac:dyDescent="0.3">
      <c r="A109" s="7" t="s">
        <v>215</v>
      </c>
      <c r="B109" s="8" t="s">
        <v>216</v>
      </c>
      <c r="C109" s="5">
        <v>1</v>
      </c>
    </row>
    <row r="110" spans="1:3" x14ac:dyDescent="0.3">
      <c r="A110" s="7" t="s">
        <v>217</v>
      </c>
      <c r="B110" s="8" t="s">
        <v>218</v>
      </c>
      <c r="C110" s="5">
        <v>1</v>
      </c>
    </row>
    <row r="111" spans="1:3" x14ac:dyDescent="0.3">
      <c r="A111" s="7" t="s">
        <v>219</v>
      </c>
      <c r="B111" s="8" t="s">
        <v>220</v>
      </c>
      <c r="C111" s="5">
        <v>1</v>
      </c>
    </row>
    <row r="112" spans="1:3" x14ac:dyDescent="0.3">
      <c r="A112" s="7" t="s">
        <v>221</v>
      </c>
      <c r="B112" s="8" t="s">
        <v>222</v>
      </c>
      <c r="C112" s="5">
        <v>1</v>
      </c>
    </row>
    <row r="113" spans="1:3" x14ac:dyDescent="0.3">
      <c r="A113" s="7" t="s">
        <v>223</v>
      </c>
      <c r="B113" s="8" t="s">
        <v>224</v>
      </c>
      <c r="C113" s="5">
        <v>1</v>
      </c>
    </row>
    <row r="114" spans="1:3" x14ac:dyDescent="0.3">
      <c r="A114" s="7" t="s">
        <v>225</v>
      </c>
      <c r="B114" s="8" t="s">
        <v>226</v>
      </c>
      <c r="C114" s="5">
        <v>1</v>
      </c>
    </row>
    <row r="115" spans="1:3" x14ac:dyDescent="0.3">
      <c r="A115" s="7" t="s">
        <v>227</v>
      </c>
      <c r="B115" s="8" t="s">
        <v>228</v>
      </c>
      <c r="C115" s="5">
        <v>1</v>
      </c>
    </row>
    <row r="116" spans="1:3" x14ac:dyDescent="0.3">
      <c r="A116" s="7" t="s">
        <v>229</v>
      </c>
      <c r="B116" s="8" t="s">
        <v>230</v>
      </c>
      <c r="C116" s="5">
        <v>1</v>
      </c>
    </row>
    <row r="117" spans="1:3" x14ac:dyDescent="0.3">
      <c r="A117" s="7" t="s">
        <v>231</v>
      </c>
      <c r="B117" s="8" t="s">
        <v>60</v>
      </c>
      <c r="C117" s="5">
        <v>1</v>
      </c>
    </row>
    <row r="118" spans="1:3" x14ac:dyDescent="0.3">
      <c r="A118" s="7" t="s">
        <v>232</v>
      </c>
      <c r="B118" s="8" t="s">
        <v>233</v>
      </c>
      <c r="C118" s="5">
        <v>1</v>
      </c>
    </row>
    <row r="119" spans="1:3" x14ac:dyDescent="0.3">
      <c r="A119" s="7" t="s">
        <v>234</v>
      </c>
      <c r="B119" s="8" t="s">
        <v>72</v>
      </c>
      <c r="C119" s="5">
        <v>1</v>
      </c>
    </row>
    <row r="120" spans="1:3" x14ac:dyDescent="0.3">
      <c r="A120" s="7" t="s">
        <v>235</v>
      </c>
      <c r="B120" s="8" t="s">
        <v>27</v>
      </c>
      <c r="C120" s="5">
        <v>1</v>
      </c>
    </row>
    <row r="121" spans="1:3" x14ac:dyDescent="0.3">
      <c r="A121" s="7" t="s">
        <v>236</v>
      </c>
      <c r="B121" s="8" t="s">
        <v>29</v>
      </c>
      <c r="C121" s="5">
        <v>1</v>
      </c>
    </row>
    <row r="122" spans="1:3" x14ac:dyDescent="0.3">
      <c r="A122" s="7" t="s">
        <v>237</v>
      </c>
      <c r="B122" s="8" t="s">
        <v>238</v>
      </c>
      <c r="C122" s="5">
        <v>1</v>
      </c>
    </row>
    <row r="123" spans="1:3" x14ac:dyDescent="0.3">
      <c r="A123" s="7" t="s">
        <v>239</v>
      </c>
      <c r="B123" s="8" t="s">
        <v>240</v>
      </c>
      <c r="C123" s="5">
        <v>1</v>
      </c>
    </row>
    <row r="124" spans="1:3" x14ac:dyDescent="0.3">
      <c r="A124" s="7" t="s">
        <v>241</v>
      </c>
      <c r="B124" s="8" t="s">
        <v>242</v>
      </c>
      <c r="C124" s="5">
        <v>1</v>
      </c>
    </row>
    <row r="125" spans="1:3" x14ac:dyDescent="0.3">
      <c r="A125" s="7" t="s">
        <v>243</v>
      </c>
      <c r="B125" s="8" t="s">
        <v>244</v>
      </c>
      <c r="C125" s="5">
        <v>1</v>
      </c>
    </row>
    <row r="126" spans="1:3" x14ac:dyDescent="0.3">
      <c r="A126" s="7" t="s">
        <v>245</v>
      </c>
      <c r="B126" s="8" t="s">
        <v>246</v>
      </c>
      <c r="C126" s="5">
        <v>1</v>
      </c>
    </row>
    <row r="127" spans="1:3" x14ac:dyDescent="0.3">
      <c r="A127" s="7" t="s">
        <v>247</v>
      </c>
      <c r="B127" s="8" t="s">
        <v>248</v>
      </c>
      <c r="C127" s="5">
        <v>1</v>
      </c>
    </row>
    <row r="128" spans="1:3" x14ac:dyDescent="0.3">
      <c r="A128" s="7" t="s">
        <v>249</v>
      </c>
      <c r="B128" s="8" t="s">
        <v>250</v>
      </c>
      <c r="C128" s="5">
        <v>1</v>
      </c>
    </row>
    <row r="129" spans="1:3" x14ac:dyDescent="0.3">
      <c r="A129" s="7" t="s">
        <v>251</v>
      </c>
      <c r="B129" s="8" t="s">
        <v>252</v>
      </c>
      <c r="C129" s="5">
        <v>1</v>
      </c>
    </row>
    <row r="130" spans="1:3" x14ac:dyDescent="0.3">
      <c r="A130" s="7" t="s">
        <v>253</v>
      </c>
      <c r="B130" s="8" t="s">
        <v>254</v>
      </c>
      <c r="C130" s="5">
        <v>1</v>
      </c>
    </row>
    <row r="131" spans="1:3" x14ac:dyDescent="0.3">
      <c r="A131" s="7" t="s">
        <v>255</v>
      </c>
      <c r="B131" s="8" t="s">
        <v>256</v>
      </c>
      <c r="C131" s="5">
        <v>1</v>
      </c>
    </row>
    <row r="132" spans="1:3" x14ac:dyDescent="0.3">
      <c r="A132" s="7" t="s">
        <v>257</v>
      </c>
      <c r="B132" s="8" t="s">
        <v>258</v>
      </c>
      <c r="C132" s="5">
        <v>5</v>
      </c>
    </row>
    <row r="133" spans="1:3" x14ac:dyDescent="0.3">
      <c r="A133" s="7" t="s">
        <v>259</v>
      </c>
      <c r="B133" s="8" t="s">
        <v>260</v>
      </c>
      <c r="C133" s="5">
        <v>5</v>
      </c>
    </row>
    <row r="134" spans="1:3" x14ac:dyDescent="0.3">
      <c r="A134" s="7" t="s">
        <v>261</v>
      </c>
      <c r="B134" s="8" t="s">
        <v>151</v>
      </c>
      <c r="C134" s="5">
        <v>5</v>
      </c>
    </row>
    <row r="135" spans="1:3" x14ac:dyDescent="0.3">
      <c r="A135" s="7" t="s">
        <v>262</v>
      </c>
      <c r="B135" s="8" t="s">
        <v>263</v>
      </c>
      <c r="C135" s="5">
        <v>5</v>
      </c>
    </row>
    <row r="136" spans="1:3" x14ac:dyDescent="0.3">
      <c r="A136" s="7" t="s">
        <v>264</v>
      </c>
      <c r="B136" s="8" t="s">
        <v>265</v>
      </c>
      <c r="C136" s="5">
        <v>5</v>
      </c>
    </row>
    <row r="137" spans="1:3" x14ac:dyDescent="0.3">
      <c r="A137" s="7" t="s">
        <v>266</v>
      </c>
      <c r="B137" s="8" t="s">
        <v>267</v>
      </c>
      <c r="C137" s="5">
        <v>5</v>
      </c>
    </row>
    <row r="138" spans="1:3" x14ac:dyDescent="0.3">
      <c r="A138" s="7" t="s">
        <v>268</v>
      </c>
      <c r="B138" s="8" t="s">
        <v>164</v>
      </c>
      <c r="C138" s="5">
        <v>2</v>
      </c>
    </row>
    <row r="139" spans="1:3" x14ac:dyDescent="0.3">
      <c r="A139" s="7" t="s">
        <v>269</v>
      </c>
      <c r="B139" s="8" t="s">
        <v>270</v>
      </c>
      <c r="C139" s="5">
        <v>2</v>
      </c>
    </row>
    <row r="140" spans="1:3" x14ac:dyDescent="0.3">
      <c r="A140" s="7" t="s">
        <v>271</v>
      </c>
      <c r="B140" s="8" t="s">
        <v>272</v>
      </c>
      <c r="C140" s="5">
        <v>2</v>
      </c>
    </row>
    <row r="141" spans="1:3" x14ac:dyDescent="0.3">
      <c r="A141" s="7" t="s">
        <v>273</v>
      </c>
      <c r="B141" s="10" t="s">
        <v>274</v>
      </c>
      <c r="C141" s="5">
        <v>2</v>
      </c>
    </row>
    <row r="142" spans="1:3" x14ac:dyDescent="0.3">
      <c r="A142" s="7" t="s">
        <v>275</v>
      </c>
      <c r="B142" s="8" t="s">
        <v>276</v>
      </c>
      <c r="C142" s="5">
        <v>2</v>
      </c>
    </row>
    <row r="143" spans="1:3" x14ac:dyDescent="0.3">
      <c r="A143" s="7" t="s">
        <v>277</v>
      </c>
      <c r="B143" s="8" t="s">
        <v>278</v>
      </c>
      <c r="C143" s="5">
        <v>2</v>
      </c>
    </row>
    <row r="144" spans="1:3" x14ac:dyDescent="0.3">
      <c r="A144" s="7" t="s">
        <v>279</v>
      </c>
      <c r="B144" s="8" t="s">
        <v>192</v>
      </c>
      <c r="C144" s="5">
        <v>2</v>
      </c>
    </row>
    <row r="145" spans="1:5" x14ac:dyDescent="0.3">
      <c r="A145" s="7" t="s">
        <v>280</v>
      </c>
      <c r="B145" s="8" t="s">
        <v>281</v>
      </c>
      <c r="C145" s="5">
        <v>2</v>
      </c>
    </row>
    <row r="146" spans="1:5" x14ac:dyDescent="0.3">
      <c r="A146" s="7" t="s">
        <v>282</v>
      </c>
      <c r="B146" s="8" t="s">
        <v>283</v>
      </c>
      <c r="C146" s="5">
        <v>2</v>
      </c>
    </row>
    <row r="147" spans="1:5" x14ac:dyDescent="0.3">
      <c r="A147" s="7" t="s">
        <v>284</v>
      </c>
      <c r="B147" s="10" t="s">
        <v>285</v>
      </c>
      <c r="C147" s="5">
        <v>4</v>
      </c>
      <c r="E147" s="40"/>
    </row>
    <row r="148" spans="1:5" x14ac:dyDescent="0.3">
      <c r="A148" s="7" t="s">
        <v>286</v>
      </c>
      <c r="B148" s="9" t="s">
        <v>200</v>
      </c>
      <c r="C148" s="5">
        <v>4</v>
      </c>
      <c r="E148" s="40"/>
    </row>
    <row r="149" spans="1:5" x14ac:dyDescent="0.3">
      <c r="A149" s="7" t="s">
        <v>287</v>
      </c>
      <c r="B149" s="8" t="s">
        <v>288</v>
      </c>
      <c r="C149" s="5">
        <v>4</v>
      </c>
      <c r="E149" s="40"/>
    </row>
    <row r="150" spans="1:5" x14ac:dyDescent="0.3">
      <c r="A150" s="7" t="s">
        <v>289</v>
      </c>
      <c r="B150" s="8" t="s">
        <v>290</v>
      </c>
      <c r="C150" s="5">
        <v>4</v>
      </c>
    </row>
    <row r="151" spans="1:5" x14ac:dyDescent="0.3">
      <c r="A151" s="7" t="s">
        <v>291</v>
      </c>
      <c r="B151" s="8" t="s">
        <v>292</v>
      </c>
      <c r="C151" s="5">
        <v>4</v>
      </c>
    </row>
    <row r="152" spans="1:5" x14ac:dyDescent="0.3">
      <c r="A152" s="7" t="s">
        <v>293</v>
      </c>
      <c r="B152" s="11" t="s">
        <v>294</v>
      </c>
      <c r="C152" s="5">
        <v>2</v>
      </c>
    </row>
    <row r="153" spans="1:5" x14ac:dyDescent="0.3">
      <c r="A153" s="7" t="s">
        <v>295</v>
      </c>
      <c r="B153" s="11" t="s">
        <v>296</v>
      </c>
      <c r="C153" s="5">
        <v>2</v>
      </c>
    </row>
    <row r="154" spans="1:5" x14ac:dyDescent="0.3">
      <c r="A154" s="7" t="s">
        <v>297</v>
      </c>
      <c r="B154" s="8" t="s">
        <v>298</v>
      </c>
      <c r="C154" s="5">
        <v>3</v>
      </c>
    </row>
    <row r="155" spans="1:5" x14ac:dyDescent="0.3">
      <c r="A155" s="7" t="s">
        <v>299</v>
      </c>
      <c r="B155" s="8" t="s">
        <v>300</v>
      </c>
      <c r="C155" s="5">
        <v>3</v>
      </c>
    </row>
    <row r="156" spans="1:5" x14ac:dyDescent="0.3">
      <c r="A156" s="7" t="s">
        <v>301</v>
      </c>
      <c r="B156" s="8" t="s">
        <v>302</v>
      </c>
      <c r="C156" s="5">
        <v>3</v>
      </c>
      <c r="E156" s="40"/>
    </row>
    <row r="157" spans="1:5" x14ac:dyDescent="0.3">
      <c r="A157" s="7" t="s">
        <v>303</v>
      </c>
      <c r="B157" s="10" t="s">
        <v>304</v>
      </c>
      <c r="C157" s="5">
        <v>3</v>
      </c>
      <c r="E157" s="40"/>
    </row>
    <row r="158" spans="1:5" x14ac:dyDescent="0.3">
      <c r="A158" s="7" t="s">
        <v>305</v>
      </c>
      <c r="B158" s="10" t="s">
        <v>306</v>
      </c>
      <c r="C158" s="5">
        <v>3</v>
      </c>
    </row>
    <row r="159" spans="1:5" x14ac:dyDescent="0.3">
      <c r="A159" s="7" t="s">
        <v>307</v>
      </c>
      <c r="B159" s="10" t="s">
        <v>308</v>
      </c>
      <c r="C159" s="5">
        <v>3</v>
      </c>
    </row>
    <row r="160" spans="1:5" x14ac:dyDescent="0.3">
      <c r="A160" s="7" t="s">
        <v>309</v>
      </c>
      <c r="B160" s="10" t="s">
        <v>310</v>
      </c>
      <c r="C160" s="5">
        <v>3</v>
      </c>
    </row>
    <row r="161" spans="1:5" x14ac:dyDescent="0.3">
      <c r="A161" s="7" t="s">
        <v>311</v>
      </c>
      <c r="B161" s="10" t="s">
        <v>312</v>
      </c>
      <c r="C161" s="5">
        <v>3</v>
      </c>
    </row>
    <row r="162" spans="1:5" x14ac:dyDescent="0.3">
      <c r="A162" s="7" t="s">
        <v>313</v>
      </c>
      <c r="B162" s="10" t="s">
        <v>314</v>
      </c>
      <c r="C162" s="5">
        <v>3</v>
      </c>
    </row>
    <row r="163" spans="1:5" x14ac:dyDescent="0.3">
      <c r="A163" s="7" t="s">
        <v>315</v>
      </c>
      <c r="B163" s="10" t="s">
        <v>316</v>
      </c>
      <c r="C163" s="5">
        <v>3</v>
      </c>
    </row>
    <row r="164" spans="1:5" x14ac:dyDescent="0.3">
      <c r="A164" s="7" t="s">
        <v>317</v>
      </c>
      <c r="B164" s="10" t="s">
        <v>318</v>
      </c>
      <c r="C164" s="5">
        <v>3</v>
      </c>
    </row>
    <row r="165" spans="1:5" x14ac:dyDescent="0.3">
      <c r="A165" s="7" t="s">
        <v>319</v>
      </c>
      <c r="B165" s="10" t="s">
        <v>320</v>
      </c>
      <c r="C165" s="5">
        <v>3</v>
      </c>
    </row>
    <row r="166" spans="1:5" x14ac:dyDescent="0.3">
      <c r="A166" s="7" t="s">
        <v>321</v>
      </c>
      <c r="B166" s="8" t="s">
        <v>322</v>
      </c>
      <c r="C166" s="5">
        <v>3</v>
      </c>
    </row>
    <row r="167" spans="1:5" x14ac:dyDescent="0.3">
      <c r="A167" s="7" t="s">
        <v>323</v>
      </c>
      <c r="B167" s="8" t="s">
        <v>324</v>
      </c>
      <c r="C167" s="5">
        <v>3</v>
      </c>
    </row>
    <row r="168" spans="1:5" x14ac:dyDescent="0.3">
      <c r="A168" s="7" t="s">
        <v>325</v>
      </c>
      <c r="B168" s="8" t="s">
        <v>326</v>
      </c>
      <c r="C168" s="5">
        <v>3</v>
      </c>
    </row>
    <row r="169" spans="1:5" x14ac:dyDescent="0.3">
      <c r="A169" s="7" t="s">
        <v>327</v>
      </c>
      <c r="B169" s="8" t="s">
        <v>328</v>
      </c>
      <c r="C169" s="5">
        <v>3</v>
      </c>
    </row>
    <row r="170" spans="1:5" x14ac:dyDescent="0.3">
      <c r="A170" s="7" t="s">
        <v>329</v>
      </c>
      <c r="B170" s="8" t="s">
        <v>330</v>
      </c>
      <c r="C170" s="5">
        <v>10</v>
      </c>
    </row>
    <row r="171" spans="1:5" x14ac:dyDescent="0.3">
      <c r="A171" s="7" t="s">
        <v>331</v>
      </c>
      <c r="B171" s="8" t="s">
        <v>332</v>
      </c>
      <c r="C171" s="5">
        <v>10</v>
      </c>
    </row>
    <row r="172" spans="1:5" x14ac:dyDescent="0.3">
      <c r="A172" s="7" t="s">
        <v>333</v>
      </c>
      <c r="B172" s="8" t="s">
        <v>334</v>
      </c>
      <c r="C172" s="5">
        <v>9</v>
      </c>
      <c r="E172" s="40"/>
    </row>
    <row r="173" spans="1:5" x14ac:dyDescent="0.3">
      <c r="A173" s="7" t="s">
        <v>335</v>
      </c>
      <c r="B173" s="8" t="s">
        <v>336</v>
      </c>
      <c r="C173" s="5">
        <v>9</v>
      </c>
      <c r="E173" s="40"/>
    </row>
    <row r="174" spans="1:5" x14ac:dyDescent="0.3">
      <c r="A174" s="7" t="s">
        <v>337</v>
      </c>
      <c r="B174" s="8" t="s">
        <v>338</v>
      </c>
      <c r="C174" s="5">
        <v>9</v>
      </c>
      <c r="E174" s="40"/>
    </row>
    <row r="175" spans="1:5" x14ac:dyDescent="0.3">
      <c r="A175" s="7" t="s">
        <v>339</v>
      </c>
      <c r="B175" s="8" t="s">
        <v>340</v>
      </c>
      <c r="C175" s="5">
        <v>9</v>
      </c>
      <c r="E175" s="40"/>
    </row>
    <row r="176" spans="1:5" x14ac:dyDescent="0.3">
      <c r="A176" s="7" t="s">
        <v>341</v>
      </c>
      <c r="B176" s="8" t="s">
        <v>342</v>
      </c>
      <c r="C176" s="5">
        <v>9</v>
      </c>
      <c r="E176" s="40"/>
    </row>
    <row r="177" spans="1:5" x14ac:dyDescent="0.3">
      <c r="A177" s="7" t="s">
        <v>343</v>
      </c>
      <c r="B177" s="8" t="s">
        <v>344</v>
      </c>
      <c r="C177" s="5">
        <v>10</v>
      </c>
    </row>
    <row r="178" spans="1:5" x14ac:dyDescent="0.3">
      <c r="A178" s="12" t="s">
        <v>345</v>
      </c>
      <c r="B178" s="14" t="s">
        <v>346</v>
      </c>
      <c r="C178" s="13">
        <v>10</v>
      </c>
      <c r="E178" s="41"/>
    </row>
    <row r="179" spans="1:5" x14ac:dyDescent="0.3">
      <c r="A179" s="12" t="s">
        <v>347</v>
      </c>
      <c r="B179" s="14" t="s">
        <v>348</v>
      </c>
      <c r="C179" s="13">
        <v>10</v>
      </c>
      <c r="E179" s="41"/>
    </row>
    <row r="180" spans="1:5" x14ac:dyDescent="0.3">
      <c r="A180" s="12" t="s">
        <v>349</v>
      </c>
      <c r="B180" s="14" t="s">
        <v>350</v>
      </c>
      <c r="C180" s="13">
        <v>9</v>
      </c>
      <c r="E180" s="41"/>
    </row>
    <row r="181" spans="1:5" x14ac:dyDescent="0.3">
      <c r="A181" s="12" t="s">
        <v>351</v>
      </c>
      <c r="B181" s="14" t="s">
        <v>350</v>
      </c>
      <c r="C181" s="13">
        <v>9</v>
      </c>
      <c r="E181" s="41"/>
    </row>
    <row r="182" spans="1:5" x14ac:dyDescent="0.3">
      <c r="A182" s="12" t="s">
        <v>352</v>
      </c>
      <c r="B182" s="14" t="s">
        <v>353</v>
      </c>
      <c r="C182" s="13">
        <v>9</v>
      </c>
      <c r="E182" s="41"/>
    </row>
    <row r="183" spans="1:5" x14ac:dyDescent="0.3">
      <c r="A183" s="12" t="s">
        <v>354</v>
      </c>
      <c r="B183" s="14" t="s">
        <v>355</v>
      </c>
      <c r="C183" s="13">
        <v>9</v>
      </c>
      <c r="E183" s="41"/>
    </row>
    <row r="184" spans="1:5" x14ac:dyDescent="0.3">
      <c r="A184" s="12" t="s">
        <v>356</v>
      </c>
      <c r="B184" s="14" t="s">
        <v>357</v>
      </c>
      <c r="C184" s="13">
        <v>9</v>
      </c>
      <c r="E184" s="41"/>
    </row>
    <row r="185" spans="1:5" x14ac:dyDescent="0.3">
      <c r="A185" s="12" t="s">
        <v>358</v>
      </c>
      <c r="B185" s="14" t="s">
        <v>359</v>
      </c>
      <c r="C185" s="13">
        <v>10</v>
      </c>
    </row>
    <row r="186" spans="1:5" x14ac:dyDescent="0.3">
      <c r="A186" s="7" t="s">
        <v>360</v>
      </c>
      <c r="B186" s="10" t="s">
        <v>330</v>
      </c>
      <c r="C186" s="5">
        <v>10</v>
      </c>
    </row>
    <row r="187" spans="1:5" x14ac:dyDescent="0.3">
      <c r="A187" s="7" t="s">
        <v>361</v>
      </c>
      <c r="B187" s="10" t="s">
        <v>332</v>
      </c>
      <c r="C187" s="5">
        <v>10</v>
      </c>
    </row>
    <row r="188" spans="1:5" x14ac:dyDescent="0.3">
      <c r="A188" s="7" t="s">
        <v>362</v>
      </c>
      <c r="B188" s="10" t="s">
        <v>334</v>
      </c>
      <c r="C188" s="5">
        <v>9</v>
      </c>
    </row>
    <row r="189" spans="1:5" x14ac:dyDescent="0.3">
      <c r="A189" s="7" t="s">
        <v>363</v>
      </c>
      <c r="B189" s="8" t="s">
        <v>336</v>
      </c>
      <c r="C189" s="5">
        <v>9</v>
      </c>
    </row>
    <row r="190" spans="1:5" x14ac:dyDescent="0.3">
      <c r="A190" s="7" t="s">
        <v>364</v>
      </c>
      <c r="B190" s="10" t="s">
        <v>338</v>
      </c>
      <c r="C190" s="5">
        <v>9</v>
      </c>
    </row>
    <row r="191" spans="1:5" x14ac:dyDescent="0.3">
      <c r="A191" s="7" t="s">
        <v>365</v>
      </c>
      <c r="B191" s="10" t="s">
        <v>340</v>
      </c>
      <c r="C191" s="5">
        <v>9</v>
      </c>
    </row>
    <row r="192" spans="1:5" x14ac:dyDescent="0.3">
      <c r="A192" s="7" t="s">
        <v>366</v>
      </c>
      <c r="B192" s="8" t="s">
        <v>342</v>
      </c>
      <c r="C192" s="5">
        <v>9</v>
      </c>
    </row>
    <row r="193" spans="1:3" x14ac:dyDescent="0.3">
      <c r="A193" s="7" t="s">
        <v>367</v>
      </c>
      <c r="B193" s="8" t="s">
        <v>368</v>
      </c>
      <c r="C193" s="5">
        <v>10</v>
      </c>
    </row>
    <row r="194" spans="1:3" x14ac:dyDescent="0.3">
      <c r="A194" s="7" t="s">
        <v>369</v>
      </c>
      <c r="B194" s="8" t="s">
        <v>332</v>
      </c>
      <c r="C194" s="5">
        <v>10</v>
      </c>
    </row>
    <row r="195" spans="1:3" x14ac:dyDescent="0.3">
      <c r="A195" s="7" t="s">
        <v>370</v>
      </c>
      <c r="B195" s="8" t="s">
        <v>334</v>
      </c>
      <c r="C195" s="5">
        <v>9</v>
      </c>
    </row>
    <row r="196" spans="1:3" x14ac:dyDescent="0.3">
      <c r="A196" s="7" t="s">
        <v>371</v>
      </c>
      <c r="B196" s="8" t="s">
        <v>336</v>
      </c>
      <c r="C196" s="5">
        <v>9</v>
      </c>
    </row>
    <row r="197" spans="1:3" x14ac:dyDescent="0.3">
      <c r="A197" s="7" t="s">
        <v>372</v>
      </c>
      <c r="B197" s="8" t="s">
        <v>373</v>
      </c>
      <c r="C197" s="15">
        <v>10</v>
      </c>
    </row>
    <row r="198" spans="1:3" x14ac:dyDescent="0.3">
      <c r="A198" s="12" t="s">
        <v>374</v>
      </c>
      <c r="B198" s="14" t="s">
        <v>375</v>
      </c>
      <c r="C198" s="16">
        <v>10</v>
      </c>
    </row>
    <row r="199" spans="1:3" x14ac:dyDescent="0.3">
      <c r="A199" s="12" t="s">
        <v>376</v>
      </c>
      <c r="B199" s="14" t="s">
        <v>377</v>
      </c>
      <c r="C199" s="16">
        <v>10</v>
      </c>
    </row>
    <row r="200" spans="1:3" x14ac:dyDescent="0.3">
      <c r="A200" s="12" t="s">
        <v>378</v>
      </c>
      <c r="B200" s="14" t="s">
        <v>379</v>
      </c>
      <c r="C200" s="16">
        <v>9</v>
      </c>
    </row>
    <row r="201" spans="1:3" x14ac:dyDescent="0.3">
      <c r="A201" s="12" t="s">
        <v>380</v>
      </c>
      <c r="B201" s="14" t="s">
        <v>381</v>
      </c>
      <c r="C201" s="16">
        <v>9</v>
      </c>
    </row>
    <row r="202" spans="1:3" x14ac:dyDescent="0.3">
      <c r="A202" s="7" t="s">
        <v>382</v>
      </c>
      <c r="B202" s="10" t="s">
        <v>383</v>
      </c>
      <c r="C202" s="17">
        <v>10</v>
      </c>
    </row>
    <row r="203" spans="1:3" x14ac:dyDescent="0.3">
      <c r="A203" s="7" t="s">
        <v>384</v>
      </c>
      <c r="B203" s="10" t="s">
        <v>385</v>
      </c>
      <c r="C203" s="17">
        <v>10</v>
      </c>
    </row>
    <row r="204" spans="1:3" x14ac:dyDescent="0.3">
      <c r="A204" s="7" t="s">
        <v>386</v>
      </c>
      <c r="B204" s="10" t="s">
        <v>387</v>
      </c>
      <c r="C204" s="17">
        <v>9</v>
      </c>
    </row>
    <row r="205" spans="1:3" x14ac:dyDescent="0.3">
      <c r="A205" s="7" t="s">
        <v>388</v>
      </c>
      <c r="B205" s="10" t="s">
        <v>338</v>
      </c>
      <c r="C205" s="17">
        <v>9</v>
      </c>
    </row>
    <row r="206" spans="1:3" x14ac:dyDescent="0.3">
      <c r="A206" s="7" t="s">
        <v>389</v>
      </c>
      <c r="B206" s="10" t="s">
        <v>340</v>
      </c>
      <c r="C206" s="17">
        <v>9</v>
      </c>
    </row>
    <row r="207" spans="1:3" x14ac:dyDescent="0.3">
      <c r="A207" s="7" t="s">
        <v>390</v>
      </c>
      <c r="B207" s="8" t="s">
        <v>391</v>
      </c>
      <c r="C207" s="17">
        <v>9</v>
      </c>
    </row>
    <row r="208" spans="1:3" x14ac:dyDescent="0.3">
      <c r="A208" s="7" t="s">
        <v>392</v>
      </c>
      <c r="B208" s="8" t="s">
        <v>393</v>
      </c>
      <c r="C208" s="17">
        <v>9</v>
      </c>
    </row>
    <row r="209" spans="1:3" x14ac:dyDescent="0.3">
      <c r="A209" s="7" t="s">
        <v>394</v>
      </c>
      <c r="B209" s="8" t="s">
        <v>395</v>
      </c>
      <c r="C209" s="17">
        <v>9</v>
      </c>
    </row>
    <row r="210" spans="1:3" x14ac:dyDescent="0.3">
      <c r="A210" s="12" t="s">
        <v>396</v>
      </c>
      <c r="B210" s="18" t="s">
        <v>397</v>
      </c>
      <c r="C210" s="16">
        <v>9</v>
      </c>
    </row>
    <row r="211" spans="1:3" x14ac:dyDescent="0.3">
      <c r="A211" s="7" t="s">
        <v>398</v>
      </c>
      <c r="B211" s="8" t="s">
        <v>399</v>
      </c>
      <c r="C211" s="17">
        <v>11</v>
      </c>
    </row>
    <row r="212" spans="1:3" x14ac:dyDescent="0.3">
      <c r="A212" s="7" t="s">
        <v>400</v>
      </c>
      <c r="B212" s="8" t="s">
        <v>401</v>
      </c>
      <c r="C212" s="17">
        <v>11</v>
      </c>
    </row>
    <row r="213" spans="1:3" x14ac:dyDescent="0.3">
      <c r="A213" s="7" t="s">
        <v>402</v>
      </c>
      <c r="B213" s="8" t="s">
        <v>403</v>
      </c>
      <c r="C213" s="17">
        <v>11</v>
      </c>
    </row>
    <row r="214" spans="1:3" x14ac:dyDescent="0.3">
      <c r="A214" s="7" t="s">
        <v>404</v>
      </c>
      <c r="B214" s="8" t="s">
        <v>405</v>
      </c>
      <c r="C214" s="17">
        <v>11</v>
      </c>
    </row>
    <row r="215" spans="1:3" x14ac:dyDescent="0.3">
      <c r="A215" s="7" t="s">
        <v>406</v>
      </c>
      <c r="B215" s="8" t="s">
        <v>407</v>
      </c>
      <c r="C215" s="17">
        <v>11</v>
      </c>
    </row>
    <row r="216" spans="1:3" x14ac:dyDescent="0.3">
      <c r="A216" s="7" t="s">
        <v>408</v>
      </c>
      <c r="B216" s="8" t="s">
        <v>409</v>
      </c>
      <c r="C216" s="17">
        <v>11</v>
      </c>
    </row>
    <row r="217" spans="1:3" x14ac:dyDescent="0.3">
      <c r="A217" s="12" t="s">
        <v>410</v>
      </c>
      <c r="B217" s="19" t="s">
        <v>411</v>
      </c>
      <c r="C217" s="16">
        <v>11</v>
      </c>
    </row>
    <row r="218" spans="1:3" x14ac:dyDescent="0.3">
      <c r="A218" s="7" t="s">
        <v>412</v>
      </c>
      <c r="B218" s="8" t="s">
        <v>373</v>
      </c>
      <c r="C218" s="17">
        <v>10</v>
      </c>
    </row>
    <row r="219" spans="1:3" x14ac:dyDescent="0.3">
      <c r="A219" s="7" t="s">
        <v>413</v>
      </c>
      <c r="B219" s="8" t="s">
        <v>414</v>
      </c>
      <c r="C219" s="17">
        <v>10</v>
      </c>
    </row>
    <row r="220" spans="1:3" x14ac:dyDescent="0.3">
      <c r="A220" s="7" t="s">
        <v>415</v>
      </c>
      <c r="B220" s="10" t="s">
        <v>416</v>
      </c>
      <c r="C220" s="17">
        <v>12</v>
      </c>
    </row>
    <row r="221" spans="1:3" x14ac:dyDescent="0.3">
      <c r="A221" s="7" t="s">
        <v>417</v>
      </c>
      <c r="B221" s="8" t="s">
        <v>418</v>
      </c>
      <c r="C221" s="17">
        <v>11</v>
      </c>
    </row>
    <row r="222" spans="1:3" x14ac:dyDescent="0.3">
      <c r="A222" s="7" t="s">
        <v>419</v>
      </c>
      <c r="B222" s="8" t="s">
        <v>420</v>
      </c>
      <c r="C222" s="17">
        <v>11</v>
      </c>
    </row>
    <row r="223" spans="1:3" x14ac:dyDescent="0.3">
      <c r="A223" s="7" t="s">
        <v>421</v>
      </c>
      <c r="B223" s="8" t="s">
        <v>405</v>
      </c>
      <c r="C223" s="17">
        <v>11</v>
      </c>
    </row>
    <row r="224" spans="1:3" x14ac:dyDescent="0.3">
      <c r="A224" s="7" t="s">
        <v>422</v>
      </c>
      <c r="B224" s="8" t="s">
        <v>423</v>
      </c>
      <c r="C224" s="17">
        <v>11</v>
      </c>
    </row>
    <row r="225" spans="1:3" x14ac:dyDescent="0.3">
      <c r="A225" s="7" t="s">
        <v>424</v>
      </c>
      <c r="B225" s="8" t="s">
        <v>425</v>
      </c>
      <c r="C225" s="17">
        <v>11</v>
      </c>
    </row>
    <row r="226" spans="1:3" x14ac:dyDescent="0.3">
      <c r="A226" s="7" t="s">
        <v>426</v>
      </c>
      <c r="B226" s="8" t="s">
        <v>427</v>
      </c>
      <c r="C226" s="17">
        <v>11</v>
      </c>
    </row>
    <row r="227" spans="1:3" x14ac:dyDescent="0.3">
      <c r="A227" s="7" t="s">
        <v>428</v>
      </c>
      <c r="B227" s="8" t="s">
        <v>399</v>
      </c>
      <c r="C227" s="17">
        <v>11</v>
      </c>
    </row>
    <row r="228" spans="1:3" x14ac:dyDescent="0.3">
      <c r="A228" s="7" t="s">
        <v>429</v>
      </c>
      <c r="B228" s="8" t="s">
        <v>430</v>
      </c>
      <c r="C228" s="17">
        <v>11</v>
      </c>
    </row>
    <row r="229" spans="1:3" x14ac:dyDescent="0.3">
      <c r="A229" s="7" t="s">
        <v>431</v>
      </c>
      <c r="B229" s="8" t="s">
        <v>432</v>
      </c>
      <c r="C229" s="17">
        <v>12</v>
      </c>
    </row>
    <row r="230" spans="1:3" x14ac:dyDescent="0.3">
      <c r="A230" s="12" t="s">
        <v>433</v>
      </c>
      <c r="B230" s="14" t="s">
        <v>434</v>
      </c>
      <c r="C230" s="16">
        <v>10</v>
      </c>
    </row>
    <row r="231" spans="1:3" x14ac:dyDescent="0.3">
      <c r="A231" s="12" t="s">
        <v>435</v>
      </c>
      <c r="B231" s="14" t="s">
        <v>436</v>
      </c>
      <c r="C231" s="16">
        <v>10</v>
      </c>
    </row>
    <row r="232" spans="1:3" x14ac:dyDescent="0.3">
      <c r="A232" s="7" t="s">
        <v>437</v>
      </c>
      <c r="B232" s="10" t="s">
        <v>438</v>
      </c>
      <c r="C232" s="17">
        <v>12</v>
      </c>
    </row>
    <row r="233" spans="1:3" x14ac:dyDescent="0.3">
      <c r="A233" s="7" t="s">
        <v>439</v>
      </c>
      <c r="B233" s="10" t="s">
        <v>440</v>
      </c>
      <c r="C233" s="17">
        <v>12</v>
      </c>
    </row>
    <row r="234" spans="1:3" x14ac:dyDescent="0.3">
      <c r="A234" s="7" t="s">
        <v>441</v>
      </c>
      <c r="B234" s="10" t="s">
        <v>442</v>
      </c>
      <c r="C234" s="17">
        <v>12</v>
      </c>
    </row>
    <row r="235" spans="1:3" x14ac:dyDescent="0.3">
      <c r="A235" s="7" t="s">
        <v>443</v>
      </c>
      <c r="B235" s="10" t="s">
        <v>444</v>
      </c>
      <c r="C235" s="17">
        <v>12</v>
      </c>
    </row>
    <row r="236" spans="1:3" x14ac:dyDescent="0.3">
      <c r="A236" s="12" t="s">
        <v>445</v>
      </c>
      <c r="B236" s="14" t="s">
        <v>446</v>
      </c>
      <c r="C236" s="16">
        <v>10</v>
      </c>
    </row>
    <row r="237" spans="1:3" x14ac:dyDescent="0.3">
      <c r="A237" s="12" t="s">
        <v>447</v>
      </c>
      <c r="B237" s="14" t="s">
        <v>448</v>
      </c>
      <c r="C237" s="16">
        <v>10</v>
      </c>
    </row>
    <row r="238" spans="1:3" x14ac:dyDescent="0.3">
      <c r="A238" s="12" t="s">
        <v>449</v>
      </c>
      <c r="B238" s="14" t="s">
        <v>450</v>
      </c>
      <c r="C238" s="16">
        <v>9</v>
      </c>
    </row>
    <row r="239" spans="1:3" x14ac:dyDescent="0.3">
      <c r="A239" s="12" t="s">
        <v>451</v>
      </c>
      <c r="B239" s="14" t="s">
        <v>452</v>
      </c>
      <c r="C239" s="16">
        <v>9</v>
      </c>
    </row>
    <row r="240" spans="1:3" x14ac:dyDescent="0.3">
      <c r="A240" s="12" t="s">
        <v>453</v>
      </c>
      <c r="B240" s="14" t="s">
        <v>454</v>
      </c>
      <c r="C240" s="16">
        <v>9</v>
      </c>
    </row>
    <row r="241" spans="1:3" x14ac:dyDescent="0.3">
      <c r="A241" s="12" t="s">
        <v>455</v>
      </c>
      <c r="B241" s="14" t="s">
        <v>456</v>
      </c>
      <c r="C241" s="16">
        <v>9</v>
      </c>
    </row>
    <row r="242" spans="1:3" x14ac:dyDescent="0.3">
      <c r="A242" s="12" t="s">
        <v>457</v>
      </c>
      <c r="B242" s="14" t="s">
        <v>458</v>
      </c>
      <c r="C242" s="16">
        <v>9</v>
      </c>
    </row>
    <row r="243" spans="1:3" x14ac:dyDescent="0.3">
      <c r="A243" s="12" t="s">
        <v>459</v>
      </c>
      <c r="B243" s="14" t="s">
        <v>460</v>
      </c>
      <c r="C243" s="16">
        <v>10</v>
      </c>
    </row>
    <row r="244" spans="1:3" x14ac:dyDescent="0.3">
      <c r="A244" s="12" t="s">
        <v>461</v>
      </c>
      <c r="B244" s="14" t="s">
        <v>462</v>
      </c>
      <c r="C244" s="16">
        <v>10</v>
      </c>
    </row>
    <row r="245" spans="1:3" x14ac:dyDescent="0.3">
      <c r="A245" s="12" t="s">
        <v>463</v>
      </c>
      <c r="B245" s="14" t="s">
        <v>464</v>
      </c>
      <c r="C245" s="16">
        <v>10</v>
      </c>
    </row>
    <row r="246" spans="1:3" x14ac:dyDescent="0.3">
      <c r="A246" s="12" t="s">
        <v>465</v>
      </c>
      <c r="B246" s="14" t="s">
        <v>466</v>
      </c>
      <c r="C246" s="16">
        <v>10</v>
      </c>
    </row>
    <row r="247" spans="1:3" x14ac:dyDescent="0.3">
      <c r="A247" s="12" t="s">
        <v>467</v>
      </c>
      <c r="B247" s="14" t="s">
        <v>468</v>
      </c>
      <c r="C247" s="16">
        <v>10</v>
      </c>
    </row>
    <row r="248" spans="1:3" x14ac:dyDescent="0.3">
      <c r="A248" s="12" t="s">
        <v>469</v>
      </c>
      <c r="B248" s="14" t="s">
        <v>470</v>
      </c>
      <c r="C248" s="16">
        <v>10</v>
      </c>
    </row>
    <row r="249" spans="1:3" x14ac:dyDescent="0.3">
      <c r="A249" s="12" t="s">
        <v>471</v>
      </c>
      <c r="B249" s="14" t="s">
        <v>472</v>
      </c>
      <c r="C249" s="16">
        <v>10</v>
      </c>
    </row>
    <row r="250" spans="1:3" x14ac:dyDescent="0.3">
      <c r="A250" s="12" t="s">
        <v>473</v>
      </c>
      <c r="B250" s="14" t="s">
        <v>474</v>
      </c>
      <c r="C250" s="16">
        <v>10</v>
      </c>
    </row>
    <row r="251" spans="1:3" x14ac:dyDescent="0.3">
      <c r="A251" s="12" t="s">
        <v>475</v>
      </c>
      <c r="B251" s="14" t="s">
        <v>476</v>
      </c>
      <c r="C251" s="16">
        <v>9</v>
      </c>
    </row>
    <row r="252" spans="1:3" x14ac:dyDescent="0.3">
      <c r="A252" s="12" t="s">
        <v>477</v>
      </c>
      <c r="B252" s="14" t="s">
        <v>478</v>
      </c>
      <c r="C252" s="16">
        <v>9</v>
      </c>
    </row>
    <row r="253" spans="1:3" x14ac:dyDescent="0.3">
      <c r="A253" s="12" t="s">
        <v>479</v>
      </c>
      <c r="B253" s="14" t="s">
        <v>480</v>
      </c>
      <c r="C253" s="16">
        <v>9</v>
      </c>
    </row>
    <row r="254" spans="1:3" x14ac:dyDescent="0.3">
      <c r="A254" s="12" t="s">
        <v>481</v>
      </c>
      <c r="B254" s="14" t="s">
        <v>482</v>
      </c>
      <c r="C254" s="16">
        <v>9</v>
      </c>
    </row>
    <row r="255" spans="1:3" x14ac:dyDescent="0.3">
      <c r="A255" s="12" t="s">
        <v>483</v>
      </c>
      <c r="B255" s="14" t="s">
        <v>484</v>
      </c>
      <c r="C255" s="16">
        <v>10</v>
      </c>
    </row>
    <row r="256" spans="1:3" x14ac:dyDescent="0.3">
      <c r="A256" s="12" t="s">
        <v>485</v>
      </c>
      <c r="B256" s="14" t="s">
        <v>486</v>
      </c>
      <c r="C256" s="16">
        <v>3</v>
      </c>
    </row>
    <row r="257" spans="1:3" x14ac:dyDescent="0.3">
      <c r="A257" s="12" t="s">
        <v>487</v>
      </c>
      <c r="B257" s="14" t="s">
        <v>488</v>
      </c>
      <c r="C257" s="16">
        <v>3</v>
      </c>
    </row>
    <row r="258" spans="1:3" x14ac:dyDescent="0.3">
      <c r="A258" s="12" t="s">
        <v>489</v>
      </c>
      <c r="B258" s="14" t="s">
        <v>490</v>
      </c>
      <c r="C258" s="16">
        <v>3</v>
      </c>
    </row>
    <row r="259" spans="1:3" x14ac:dyDescent="0.3">
      <c r="A259" s="12" t="s">
        <v>491</v>
      </c>
      <c r="B259" s="14" t="s">
        <v>492</v>
      </c>
      <c r="C259" s="16">
        <v>11</v>
      </c>
    </row>
    <row r="260" spans="1:3" x14ac:dyDescent="0.3">
      <c r="A260" s="12" t="s">
        <v>493</v>
      </c>
      <c r="B260" s="14" t="s">
        <v>494</v>
      </c>
      <c r="C260" s="16">
        <v>11</v>
      </c>
    </row>
    <row r="261" spans="1:3" x14ac:dyDescent="0.3">
      <c r="A261" s="12" t="s">
        <v>495</v>
      </c>
      <c r="B261" s="14" t="s">
        <v>496</v>
      </c>
      <c r="C261" s="16">
        <v>11</v>
      </c>
    </row>
    <row r="262" spans="1:3" x14ac:dyDescent="0.3">
      <c r="A262" s="12" t="s">
        <v>497</v>
      </c>
      <c r="B262" s="14" t="s">
        <v>498</v>
      </c>
      <c r="C262" s="16">
        <v>11</v>
      </c>
    </row>
    <row r="263" spans="1:3" x14ac:dyDescent="0.3">
      <c r="A263" s="12" t="s">
        <v>499</v>
      </c>
      <c r="B263" s="14" t="s">
        <v>500</v>
      </c>
      <c r="C263" s="16">
        <v>11</v>
      </c>
    </row>
    <row r="264" spans="1:3" x14ac:dyDescent="0.3">
      <c r="A264" s="12" t="s">
        <v>501</v>
      </c>
      <c r="B264" s="14" t="s">
        <v>502</v>
      </c>
      <c r="C264" s="16">
        <v>11</v>
      </c>
    </row>
    <row r="265" spans="1:3" x14ac:dyDescent="0.3">
      <c r="A265" s="12" t="s">
        <v>503</v>
      </c>
      <c r="B265" s="14" t="s">
        <v>504</v>
      </c>
      <c r="C265" s="16">
        <v>10</v>
      </c>
    </row>
    <row r="266" spans="1:3" x14ac:dyDescent="0.3">
      <c r="A266" s="12" t="s">
        <v>505</v>
      </c>
      <c r="B266" s="14" t="s">
        <v>506</v>
      </c>
      <c r="C266" s="16">
        <v>10</v>
      </c>
    </row>
    <row r="267" spans="1:3" x14ac:dyDescent="0.3">
      <c r="A267" s="12" t="s">
        <v>507</v>
      </c>
      <c r="B267" s="14" t="s">
        <v>508</v>
      </c>
      <c r="C267" s="16">
        <v>10</v>
      </c>
    </row>
    <row r="268" spans="1:3" x14ac:dyDescent="0.3">
      <c r="A268" s="12" t="s">
        <v>509</v>
      </c>
      <c r="B268" s="14" t="s">
        <v>510</v>
      </c>
      <c r="C268" s="16">
        <v>11</v>
      </c>
    </row>
    <row r="269" spans="1:3" x14ac:dyDescent="0.3">
      <c r="A269" s="12" t="s">
        <v>511</v>
      </c>
      <c r="B269" s="14" t="s">
        <v>512</v>
      </c>
      <c r="C269" s="16">
        <v>11</v>
      </c>
    </row>
    <row r="270" spans="1:3" x14ac:dyDescent="0.3">
      <c r="A270" s="12" t="s">
        <v>513</v>
      </c>
      <c r="B270" s="14" t="s">
        <v>514</v>
      </c>
      <c r="C270" s="16">
        <v>11</v>
      </c>
    </row>
    <row r="271" spans="1:3" x14ac:dyDescent="0.3">
      <c r="A271" s="12" t="s">
        <v>515</v>
      </c>
      <c r="B271" s="14" t="s">
        <v>516</v>
      </c>
      <c r="C271" s="16">
        <v>11</v>
      </c>
    </row>
    <row r="272" spans="1:3" x14ac:dyDescent="0.3">
      <c r="A272" s="12" t="s">
        <v>517</v>
      </c>
      <c r="B272" s="14" t="s">
        <v>518</v>
      </c>
      <c r="C272" s="16">
        <v>11</v>
      </c>
    </row>
    <row r="273" spans="1:3" x14ac:dyDescent="0.3">
      <c r="A273" s="12" t="s">
        <v>519</v>
      </c>
      <c r="B273" s="14" t="s">
        <v>520</v>
      </c>
      <c r="C273" s="16">
        <v>11</v>
      </c>
    </row>
    <row r="274" spans="1:3" x14ac:dyDescent="0.3">
      <c r="A274" s="12" t="s">
        <v>521</v>
      </c>
      <c r="B274" s="14" t="s">
        <v>522</v>
      </c>
      <c r="C274" s="16">
        <v>11</v>
      </c>
    </row>
    <row r="275" spans="1:3" x14ac:dyDescent="0.3">
      <c r="A275" s="7" t="s">
        <v>523</v>
      </c>
      <c r="B275" s="8" t="s">
        <v>256</v>
      </c>
      <c r="C275" s="17">
        <v>8</v>
      </c>
    </row>
    <row r="276" spans="1:3" x14ac:dyDescent="0.3">
      <c r="A276" s="7" t="s">
        <v>524</v>
      </c>
      <c r="B276" s="10" t="s">
        <v>525</v>
      </c>
      <c r="C276" s="17">
        <v>8</v>
      </c>
    </row>
    <row r="277" spans="1:3" x14ac:dyDescent="0.3">
      <c r="A277" s="7" t="s">
        <v>526</v>
      </c>
      <c r="B277" s="10" t="s">
        <v>527</v>
      </c>
      <c r="C277" s="17">
        <v>8</v>
      </c>
    </row>
    <row r="278" spans="1:3" x14ac:dyDescent="0.3">
      <c r="A278" s="7" t="s">
        <v>528</v>
      </c>
      <c r="B278" s="8" t="s">
        <v>529</v>
      </c>
      <c r="C278" s="17">
        <v>8</v>
      </c>
    </row>
    <row r="279" spans="1:3" x14ac:dyDescent="0.3">
      <c r="A279" s="7" t="s">
        <v>530</v>
      </c>
      <c r="B279" s="8" t="s">
        <v>531</v>
      </c>
      <c r="C279" s="17">
        <v>8</v>
      </c>
    </row>
    <row r="280" spans="1:3" x14ac:dyDescent="0.3">
      <c r="A280" s="7" t="s">
        <v>532</v>
      </c>
      <c r="B280" s="8" t="s">
        <v>533</v>
      </c>
      <c r="C280" s="17">
        <v>8</v>
      </c>
    </row>
    <row r="281" spans="1:3" x14ac:dyDescent="0.3">
      <c r="A281" s="7" t="s">
        <v>534</v>
      </c>
      <c r="B281" s="8" t="s">
        <v>535</v>
      </c>
      <c r="C281" s="17">
        <v>8</v>
      </c>
    </row>
    <row r="282" spans="1:3" x14ac:dyDescent="0.3">
      <c r="A282" s="7" t="s">
        <v>536</v>
      </c>
      <c r="B282" s="8" t="s">
        <v>537</v>
      </c>
      <c r="C282" s="17">
        <v>8</v>
      </c>
    </row>
    <row r="283" spans="1:3" x14ac:dyDescent="0.3">
      <c r="A283" s="7" t="s">
        <v>538</v>
      </c>
      <c r="B283" s="8" t="s">
        <v>539</v>
      </c>
      <c r="C283" s="17">
        <v>8</v>
      </c>
    </row>
    <row r="284" spans="1:3" x14ac:dyDescent="0.3">
      <c r="A284" s="7" t="s">
        <v>540</v>
      </c>
      <c r="B284" s="8" t="s">
        <v>541</v>
      </c>
      <c r="C284" s="17">
        <v>8</v>
      </c>
    </row>
    <row r="285" spans="1:3" x14ac:dyDescent="0.3">
      <c r="A285" s="7" t="s">
        <v>542</v>
      </c>
      <c r="B285" s="8" t="s">
        <v>132</v>
      </c>
      <c r="C285" s="17">
        <v>8</v>
      </c>
    </row>
    <row r="286" spans="1:3" x14ac:dyDescent="0.3">
      <c r="A286" s="7" t="s">
        <v>543</v>
      </c>
      <c r="B286" s="8" t="s">
        <v>126</v>
      </c>
      <c r="C286" s="17">
        <v>8</v>
      </c>
    </row>
    <row r="287" spans="1:3" x14ac:dyDescent="0.3">
      <c r="A287" s="7" t="s">
        <v>544</v>
      </c>
      <c r="B287" s="8" t="s">
        <v>128</v>
      </c>
      <c r="C287" s="17">
        <v>8</v>
      </c>
    </row>
    <row r="288" spans="1:3" x14ac:dyDescent="0.3">
      <c r="A288" s="7" t="s">
        <v>545</v>
      </c>
      <c r="B288" s="8" t="s">
        <v>541</v>
      </c>
      <c r="C288" s="17">
        <v>8</v>
      </c>
    </row>
    <row r="289" spans="1:3" x14ac:dyDescent="0.3">
      <c r="A289" s="7" t="s">
        <v>546</v>
      </c>
      <c r="B289" s="8" t="s">
        <v>132</v>
      </c>
      <c r="C289" s="17">
        <v>8</v>
      </c>
    </row>
    <row r="290" spans="1:3" x14ac:dyDescent="0.3">
      <c r="A290" s="12" t="s">
        <v>547</v>
      </c>
      <c r="B290" s="14" t="s">
        <v>548</v>
      </c>
      <c r="C290" s="16">
        <v>8</v>
      </c>
    </row>
    <row r="291" spans="1:3" x14ac:dyDescent="0.3">
      <c r="A291" s="12" t="s">
        <v>549</v>
      </c>
      <c r="B291" s="14" t="s">
        <v>550</v>
      </c>
      <c r="C291" s="16">
        <v>8</v>
      </c>
    </row>
    <row r="292" spans="1:3" x14ac:dyDescent="0.3">
      <c r="A292" s="7" t="s">
        <v>551</v>
      </c>
      <c r="B292" s="8" t="s">
        <v>552</v>
      </c>
      <c r="C292" s="17">
        <v>6</v>
      </c>
    </row>
    <row r="293" spans="1:3" x14ac:dyDescent="0.3">
      <c r="A293" s="7" t="s">
        <v>553</v>
      </c>
      <c r="B293" s="8" t="s">
        <v>554</v>
      </c>
      <c r="C293" s="17">
        <v>6</v>
      </c>
    </row>
    <row r="294" spans="1:3" x14ac:dyDescent="0.3">
      <c r="A294" s="7" t="s">
        <v>555</v>
      </c>
      <c r="B294" s="9" t="s">
        <v>556</v>
      </c>
      <c r="C294" s="17">
        <v>6</v>
      </c>
    </row>
    <row r="295" spans="1:3" x14ac:dyDescent="0.3">
      <c r="A295" s="7" t="s">
        <v>557</v>
      </c>
      <c r="B295" s="9" t="s">
        <v>558</v>
      </c>
      <c r="C295" s="17">
        <v>6</v>
      </c>
    </row>
    <row r="296" spans="1:3" x14ac:dyDescent="0.3">
      <c r="A296" s="7" t="s">
        <v>559</v>
      </c>
      <c r="B296" s="9" t="s">
        <v>560</v>
      </c>
      <c r="C296" s="17">
        <v>6</v>
      </c>
    </row>
    <row r="297" spans="1:3" x14ac:dyDescent="0.3">
      <c r="A297" s="7" t="s">
        <v>561</v>
      </c>
      <c r="B297" s="8" t="s">
        <v>256</v>
      </c>
      <c r="C297" s="17">
        <v>6</v>
      </c>
    </row>
    <row r="298" spans="1:3" x14ac:dyDescent="0.3">
      <c r="A298" s="7" t="s">
        <v>562</v>
      </c>
      <c r="B298" s="8" t="s">
        <v>563</v>
      </c>
      <c r="C298" s="17">
        <v>6</v>
      </c>
    </row>
    <row r="299" spans="1:3" x14ac:dyDescent="0.3">
      <c r="A299" s="7" t="s">
        <v>564</v>
      </c>
      <c r="B299" s="8" t="s">
        <v>529</v>
      </c>
      <c r="C299" s="17">
        <v>8</v>
      </c>
    </row>
    <row r="300" spans="1:3" x14ac:dyDescent="0.3">
      <c r="A300" s="7" t="s">
        <v>565</v>
      </c>
      <c r="B300" s="8" t="s">
        <v>531</v>
      </c>
      <c r="C300" s="17">
        <v>7</v>
      </c>
    </row>
    <row r="301" spans="1:3" x14ac:dyDescent="0.3">
      <c r="A301" s="7" t="s">
        <v>566</v>
      </c>
      <c r="B301" s="8" t="s">
        <v>533</v>
      </c>
      <c r="C301" s="17">
        <v>7</v>
      </c>
    </row>
    <row r="302" spans="1:3" x14ac:dyDescent="0.3">
      <c r="A302" s="7" t="s">
        <v>567</v>
      </c>
      <c r="B302" s="8" t="s">
        <v>568</v>
      </c>
      <c r="C302" s="17">
        <v>8</v>
      </c>
    </row>
    <row r="303" spans="1:3" x14ac:dyDescent="0.3">
      <c r="A303" s="7" t="s">
        <v>569</v>
      </c>
      <c r="B303" s="8" t="s">
        <v>570</v>
      </c>
      <c r="C303" s="17">
        <v>8</v>
      </c>
    </row>
    <row r="304" spans="1:3" x14ac:dyDescent="0.3">
      <c r="A304" s="7" t="s">
        <v>571</v>
      </c>
      <c r="B304" s="8" t="s">
        <v>267</v>
      </c>
      <c r="C304" s="17">
        <v>8</v>
      </c>
    </row>
    <row r="305" spans="1:5" x14ac:dyDescent="0.3">
      <c r="A305" s="12" t="s">
        <v>572</v>
      </c>
      <c r="B305" s="14" t="s">
        <v>573</v>
      </c>
      <c r="C305" s="16">
        <v>8</v>
      </c>
    </row>
    <row r="306" spans="1:5" x14ac:dyDescent="0.3">
      <c r="A306" s="12" t="s">
        <v>574</v>
      </c>
      <c r="B306" s="14" t="s">
        <v>575</v>
      </c>
      <c r="C306" s="16">
        <v>8</v>
      </c>
    </row>
    <row r="307" spans="1:5" x14ac:dyDescent="0.3">
      <c r="A307" s="7" t="s">
        <v>576</v>
      </c>
      <c r="B307" s="8" t="s">
        <v>552</v>
      </c>
      <c r="C307" s="17">
        <v>6</v>
      </c>
    </row>
    <row r="308" spans="1:5" x14ac:dyDescent="0.3">
      <c r="A308" s="7" t="s">
        <v>577</v>
      </c>
      <c r="B308" s="8" t="s">
        <v>578</v>
      </c>
      <c r="C308" s="17">
        <v>6</v>
      </c>
    </row>
    <row r="309" spans="1:5" x14ac:dyDescent="0.3">
      <c r="A309" s="7" t="s">
        <v>579</v>
      </c>
      <c r="B309" s="20" t="s">
        <v>580</v>
      </c>
      <c r="C309" s="17">
        <v>6</v>
      </c>
    </row>
    <row r="310" spans="1:5" x14ac:dyDescent="0.3">
      <c r="A310" s="12" t="s">
        <v>581</v>
      </c>
      <c r="B310" s="18" t="s">
        <v>582</v>
      </c>
      <c r="C310" s="21">
        <v>6</v>
      </c>
    </row>
    <row r="311" spans="1:5" x14ac:dyDescent="0.3">
      <c r="A311" s="7" t="s">
        <v>583</v>
      </c>
      <c r="B311" s="23" t="s">
        <v>584</v>
      </c>
      <c r="C311" s="22">
        <v>8</v>
      </c>
    </row>
    <row r="312" spans="1:5" x14ac:dyDescent="0.3">
      <c r="A312" s="7" t="s">
        <v>585</v>
      </c>
      <c r="B312" s="10" t="s">
        <v>586</v>
      </c>
      <c r="C312" s="22">
        <v>8</v>
      </c>
    </row>
    <row r="313" spans="1:5" x14ac:dyDescent="0.3">
      <c r="A313" s="7" t="s">
        <v>587</v>
      </c>
      <c r="B313" s="8" t="s">
        <v>588</v>
      </c>
      <c r="C313" s="22">
        <v>13</v>
      </c>
      <c r="D313" s="43" t="s">
        <v>1778</v>
      </c>
      <c r="E313" s="3">
        <v>22010</v>
      </c>
    </row>
    <row r="314" spans="1:5" x14ac:dyDescent="0.3">
      <c r="A314" s="7" t="s">
        <v>589</v>
      </c>
      <c r="B314" s="8" t="s">
        <v>590</v>
      </c>
      <c r="C314" s="22">
        <v>13</v>
      </c>
      <c r="D314" s="43" t="s">
        <v>1777</v>
      </c>
    </row>
    <row r="315" spans="1:5" x14ac:dyDescent="0.3">
      <c r="A315" s="7" t="s">
        <v>591</v>
      </c>
      <c r="B315" s="10" t="s">
        <v>592</v>
      </c>
      <c r="C315" s="22">
        <v>13</v>
      </c>
    </row>
    <row r="316" spans="1:5" x14ac:dyDescent="0.3">
      <c r="A316" s="7" t="s">
        <v>593</v>
      </c>
      <c r="B316" s="10" t="s">
        <v>594</v>
      </c>
      <c r="C316" s="22">
        <v>13</v>
      </c>
    </row>
    <row r="317" spans="1:5" x14ac:dyDescent="0.3">
      <c r="A317" s="7" t="s">
        <v>595</v>
      </c>
      <c r="B317" s="9" t="s">
        <v>596</v>
      </c>
      <c r="C317" s="22">
        <v>13</v>
      </c>
      <c r="D317" s="43" t="s">
        <v>1779</v>
      </c>
    </row>
    <row r="318" spans="1:5" x14ac:dyDescent="0.3">
      <c r="A318" s="7" t="s">
        <v>597</v>
      </c>
      <c r="B318" s="9" t="s">
        <v>598</v>
      </c>
      <c r="C318" s="22">
        <v>13</v>
      </c>
    </row>
    <row r="319" spans="1:5" ht="26.4" x14ac:dyDescent="0.3">
      <c r="A319" s="7" t="s">
        <v>599</v>
      </c>
      <c r="B319" s="9" t="s">
        <v>600</v>
      </c>
      <c r="C319" s="22">
        <v>13</v>
      </c>
    </row>
    <row r="320" spans="1:5" x14ac:dyDescent="0.3">
      <c r="A320" s="7" t="s">
        <v>601</v>
      </c>
      <c r="B320" s="8" t="s">
        <v>602</v>
      </c>
      <c r="C320" s="22">
        <v>13</v>
      </c>
      <c r="D320" s="43" t="s">
        <v>1780</v>
      </c>
    </row>
    <row r="321" spans="1:5" x14ac:dyDescent="0.3">
      <c r="A321" s="7" t="s">
        <v>603</v>
      </c>
      <c r="B321" s="8" t="s">
        <v>256</v>
      </c>
      <c r="C321" s="22">
        <v>14</v>
      </c>
    </row>
    <row r="322" spans="1:5" x14ac:dyDescent="0.3">
      <c r="A322" s="7" t="s">
        <v>604</v>
      </c>
      <c r="B322" s="8" t="s">
        <v>605</v>
      </c>
      <c r="C322" s="22">
        <v>14</v>
      </c>
    </row>
    <row r="323" spans="1:5" x14ac:dyDescent="0.3">
      <c r="A323" s="7" t="s">
        <v>606</v>
      </c>
      <c r="B323" s="8" t="s">
        <v>607</v>
      </c>
      <c r="C323" s="22">
        <v>14</v>
      </c>
    </row>
    <row r="324" spans="1:5" x14ac:dyDescent="0.3">
      <c r="A324" s="7" t="s">
        <v>608</v>
      </c>
      <c r="B324" s="8" t="s">
        <v>609</v>
      </c>
      <c r="C324" s="22">
        <v>14</v>
      </c>
    </row>
    <row r="325" spans="1:5" x14ac:dyDescent="0.3">
      <c r="A325" s="7" t="s">
        <v>610</v>
      </c>
      <c r="B325" s="8" t="s">
        <v>611</v>
      </c>
      <c r="C325" s="22">
        <v>14</v>
      </c>
    </row>
    <row r="326" spans="1:5" x14ac:dyDescent="0.3">
      <c r="A326" s="7" t="s">
        <v>612</v>
      </c>
      <c r="B326" s="8" t="s">
        <v>613</v>
      </c>
      <c r="C326" s="22">
        <v>14</v>
      </c>
    </row>
    <row r="327" spans="1:5" x14ac:dyDescent="0.3">
      <c r="A327" s="7" t="s">
        <v>614</v>
      </c>
      <c r="B327" s="8" t="s">
        <v>615</v>
      </c>
      <c r="C327" s="22">
        <v>14</v>
      </c>
    </row>
    <row r="328" spans="1:5" x14ac:dyDescent="0.3">
      <c r="A328" s="7" t="s">
        <v>616</v>
      </c>
      <c r="B328" s="8" t="s">
        <v>617</v>
      </c>
      <c r="C328" s="22">
        <v>14</v>
      </c>
    </row>
    <row r="329" spans="1:5" x14ac:dyDescent="0.3">
      <c r="A329" s="12" t="s">
        <v>618</v>
      </c>
      <c r="B329" s="14" t="s">
        <v>619</v>
      </c>
      <c r="C329" s="21">
        <v>14</v>
      </c>
    </row>
    <row r="330" spans="1:5" x14ac:dyDescent="0.3">
      <c r="A330" s="12" t="s">
        <v>620</v>
      </c>
      <c r="B330" s="14" t="s">
        <v>621</v>
      </c>
      <c r="C330" s="21">
        <v>14</v>
      </c>
    </row>
    <row r="331" spans="1:5" x14ac:dyDescent="0.3">
      <c r="A331" s="24" t="s">
        <v>2</v>
      </c>
      <c r="B331" s="26" t="s">
        <v>622</v>
      </c>
      <c r="C331" s="25">
        <v>17</v>
      </c>
      <c r="D331" s="38" t="s">
        <v>1773</v>
      </c>
      <c r="E331" s="38" t="s">
        <v>1774</v>
      </c>
    </row>
    <row r="332" spans="1:5" x14ac:dyDescent="0.3">
      <c r="A332" s="7" t="s">
        <v>623</v>
      </c>
      <c r="B332" s="8" t="s">
        <v>624</v>
      </c>
      <c r="C332" s="22">
        <v>13</v>
      </c>
    </row>
    <row r="333" spans="1:5" x14ac:dyDescent="0.3">
      <c r="A333" s="7" t="s">
        <v>625</v>
      </c>
      <c r="B333" s="8" t="s">
        <v>626</v>
      </c>
      <c r="C333" s="22">
        <v>13</v>
      </c>
    </row>
    <row r="334" spans="1:5" x14ac:dyDescent="0.3">
      <c r="A334" s="7" t="s">
        <v>627</v>
      </c>
      <c r="B334" s="8" t="s">
        <v>628</v>
      </c>
      <c r="C334" s="22">
        <v>13</v>
      </c>
      <c r="D334" s="40"/>
    </row>
    <row r="335" spans="1:5" x14ac:dyDescent="0.3">
      <c r="A335" s="7" t="s">
        <v>629</v>
      </c>
      <c r="B335" s="8" t="s">
        <v>630</v>
      </c>
      <c r="C335" s="22">
        <v>13</v>
      </c>
      <c r="D335" s="40"/>
    </row>
    <row r="336" spans="1:5" x14ac:dyDescent="0.3">
      <c r="A336" s="7" t="s">
        <v>5</v>
      </c>
      <c r="B336" s="8" t="s">
        <v>631</v>
      </c>
      <c r="C336" s="22">
        <v>13</v>
      </c>
      <c r="D336" s="40"/>
    </row>
    <row r="337" spans="1:3" x14ac:dyDescent="0.3">
      <c r="A337" s="7" t="s">
        <v>632</v>
      </c>
      <c r="B337" s="8" t="s">
        <v>633</v>
      </c>
      <c r="C337" s="22">
        <v>13</v>
      </c>
    </row>
    <row r="338" spans="1:3" x14ac:dyDescent="0.3">
      <c r="A338" s="7" t="s">
        <v>634</v>
      </c>
      <c r="B338" s="8" t="s">
        <v>635</v>
      </c>
      <c r="C338" s="22">
        <v>13</v>
      </c>
    </row>
    <row r="339" spans="1:3" x14ac:dyDescent="0.3">
      <c r="A339" s="7" t="s">
        <v>636</v>
      </c>
      <c r="B339" s="8" t="s">
        <v>637</v>
      </c>
      <c r="C339" s="22">
        <v>13</v>
      </c>
    </row>
    <row r="340" spans="1:3" x14ac:dyDescent="0.3">
      <c r="A340" s="7" t="s">
        <v>638</v>
      </c>
      <c r="B340" s="9" t="s">
        <v>639</v>
      </c>
      <c r="C340" s="22">
        <v>13</v>
      </c>
    </row>
    <row r="341" spans="1:3" x14ac:dyDescent="0.3">
      <c r="A341" s="7" t="s">
        <v>7</v>
      </c>
      <c r="B341" s="8" t="s">
        <v>640</v>
      </c>
      <c r="C341" s="22">
        <v>13</v>
      </c>
    </row>
    <row r="342" spans="1:3" x14ac:dyDescent="0.3">
      <c r="A342" s="7" t="s">
        <v>641</v>
      </c>
      <c r="B342" s="10" t="s">
        <v>642</v>
      </c>
      <c r="C342" s="22">
        <v>13</v>
      </c>
    </row>
    <row r="343" spans="1:3" x14ac:dyDescent="0.3">
      <c r="A343" s="7" t="s">
        <v>643</v>
      </c>
      <c r="B343" s="27" t="s">
        <v>640</v>
      </c>
      <c r="C343" s="22">
        <v>13</v>
      </c>
    </row>
    <row r="344" spans="1:3" x14ac:dyDescent="0.3">
      <c r="A344" s="7" t="s">
        <v>644</v>
      </c>
      <c r="B344" s="8" t="s">
        <v>645</v>
      </c>
      <c r="C344" s="22">
        <v>13</v>
      </c>
    </row>
    <row r="345" spans="1:3" x14ac:dyDescent="0.3">
      <c r="A345" s="7" t="s">
        <v>646</v>
      </c>
      <c r="B345" s="8" t="s">
        <v>647</v>
      </c>
      <c r="C345" s="22">
        <v>13</v>
      </c>
    </row>
    <row r="346" spans="1:3" x14ac:dyDescent="0.3">
      <c r="A346" s="7" t="s">
        <v>648</v>
      </c>
      <c r="B346" s="8" t="s">
        <v>649</v>
      </c>
      <c r="C346" s="22">
        <v>13</v>
      </c>
    </row>
    <row r="347" spans="1:3" x14ac:dyDescent="0.3">
      <c r="A347" s="7" t="s">
        <v>650</v>
      </c>
      <c r="B347" s="8" t="s">
        <v>651</v>
      </c>
      <c r="C347" s="22">
        <v>13</v>
      </c>
    </row>
    <row r="348" spans="1:3" x14ac:dyDescent="0.3">
      <c r="A348" s="7" t="s">
        <v>652</v>
      </c>
      <c r="B348" s="8" t="s">
        <v>653</v>
      </c>
      <c r="C348" s="22">
        <v>13</v>
      </c>
    </row>
    <row r="349" spans="1:3" x14ac:dyDescent="0.3">
      <c r="A349" s="7" t="s">
        <v>6</v>
      </c>
      <c r="B349" s="8" t="s">
        <v>654</v>
      </c>
      <c r="C349" s="22">
        <v>13</v>
      </c>
    </row>
    <row r="350" spans="1:3" x14ac:dyDescent="0.3">
      <c r="A350" s="7" t="s">
        <v>3</v>
      </c>
      <c r="B350" s="8" t="s">
        <v>655</v>
      </c>
      <c r="C350" s="22">
        <v>13</v>
      </c>
    </row>
    <row r="351" spans="1:3" x14ac:dyDescent="0.3">
      <c r="A351" s="7" t="s">
        <v>656</v>
      </c>
      <c r="B351" s="8" t="s">
        <v>657</v>
      </c>
      <c r="C351" s="22">
        <v>13</v>
      </c>
    </row>
    <row r="352" spans="1:3" x14ac:dyDescent="0.3">
      <c r="A352" s="7" t="s">
        <v>4</v>
      </c>
      <c r="B352" s="10" t="s">
        <v>658</v>
      </c>
      <c r="C352" s="22">
        <v>13</v>
      </c>
    </row>
    <row r="353" spans="1:3" x14ac:dyDescent="0.3">
      <c r="A353" s="7" t="s">
        <v>659</v>
      </c>
      <c r="B353" s="8" t="s">
        <v>660</v>
      </c>
      <c r="C353" s="22">
        <v>13</v>
      </c>
    </row>
    <row r="354" spans="1:3" x14ac:dyDescent="0.3">
      <c r="A354" s="7" t="s">
        <v>661</v>
      </c>
      <c r="B354" s="8" t="s">
        <v>662</v>
      </c>
      <c r="C354" s="22">
        <v>16</v>
      </c>
    </row>
    <row r="355" spans="1:3" x14ac:dyDescent="0.3">
      <c r="A355" s="7" t="s">
        <v>663</v>
      </c>
      <c r="B355" s="8" t="s">
        <v>664</v>
      </c>
      <c r="C355" s="22">
        <v>16</v>
      </c>
    </row>
    <row r="356" spans="1:3" x14ac:dyDescent="0.3">
      <c r="A356" s="7" t="s">
        <v>665</v>
      </c>
      <c r="B356" s="9" t="s">
        <v>666</v>
      </c>
      <c r="C356" s="22">
        <v>16</v>
      </c>
    </row>
    <row r="357" spans="1:3" x14ac:dyDescent="0.3">
      <c r="A357" s="7" t="s">
        <v>667</v>
      </c>
      <c r="B357" s="9" t="s">
        <v>668</v>
      </c>
      <c r="C357" s="22">
        <v>16</v>
      </c>
    </row>
    <row r="358" spans="1:3" x14ac:dyDescent="0.3">
      <c r="A358" s="7" t="s">
        <v>669</v>
      </c>
      <c r="B358" s="9" t="s">
        <v>670</v>
      </c>
      <c r="C358" s="22">
        <v>16</v>
      </c>
    </row>
    <row r="359" spans="1:3" x14ac:dyDescent="0.3">
      <c r="A359" s="7" t="s">
        <v>671</v>
      </c>
      <c r="B359" s="8" t="s">
        <v>672</v>
      </c>
      <c r="C359" s="22">
        <v>16</v>
      </c>
    </row>
    <row r="360" spans="1:3" x14ac:dyDescent="0.3">
      <c r="A360" s="7" t="s">
        <v>673</v>
      </c>
      <c r="B360" s="10" t="s">
        <v>674</v>
      </c>
      <c r="C360" s="22">
        <v>13</v>
      </c>
    </row>
    <row r="361" spans="1:3" x14ac:dyDescent="0.3">
      <c r="A361" s="7" t="s">
        <v>675</v>
      </c>
      <c r="B361" s="8" t="s">
        <v>676</v>
      </c>
      <c r="C361" s="22">
        <v>13</v>
      </c>
    </row>
    <row r="362" spans="1:3" x14ac:dyDescent="0.3">
      <c r="A362" s="7" t="s">
        <v>677</v>
      </c>
      <c r="B362" s="8" t="s">
        <v>678</v>
      </c>
      <c r="C362" s="22">
        <v>15</v>
      </c>
    </row>
    <row r="363" spans="1:3" x14ac:dyDescent="0.3">
      <c r="A363" s="7" t="s">
        <v>679</v>
      </c>
      <c r="B363" s="8" t="s">
        <v>680</v>
      </c>
      <c r="C363" s="22">
        <v>13</v>
      </c>
    </row>
    <row r="364" spans="1:3" x14ac:dyDescent="0.3">
      <c r="A364" s="7" t="s">
        <v>681</v>
      </c>
      <c r="B364" s="8" t="s">
        <v>682</v>
      </c>
      <c r="C364" s="22">
        <v>13</v>
      </c>
    </row>
    <row r="365" spans="1:3" x14ac:dyDescent="0.3">
      <c r="A365" s="7" t="s">
        <v>683</v>
      </c>
      <c r="B365" s="8" t="s">
        <v>684</v>
      </c>
      <c r="C365" s="22">
        <v>13</v>
      </c>
    </row>
    <row r="366" spans="1:3" x14ac:dyDescent="0.3">
      <c r="A366" s="7" t="s">
        <v>685</v>
      </c>
      <c r="B366" s="10" t="s">
        <v>686</v>
      </c>
      <c r="C366" s="22">
        <v>13</v>
      </c>
    </row>
    <row r="367" spans="1:3" x14ac:dyDescent="0.3">
      <c r="A367" s="7" t="s">
        <v>687</v>
      </c>
      <c r="B367" s="10" t="s">
        <v>688</v>
      </c>
      <c r="C367" s="22">
        <v>13</v>
      </c>
    </row>
    <row r="368" spans="1:3" x14ac:dyDescent="0.3">
      <c r="A368" s="7" t="s">
        <v>689</v>
      </c>
      <c r="B368" s="10" t="s">
        <v>690</v>
      </c>
      <c r="C368" s="22">
        <v>13</v>
      </c>
    </row>
    <row r="369" spans="1:4" x14ac:dyDescent="0.3">
      <c r="A369" s="7" t="s">
        <v>691</v>
      </c>
      <c r="B369" s="10" t="s">
        <v>692</v>
      </c>
      <c r="C369" s="22">
        <v>13</v>
      </c>
    </row>
    <row r="370" spans="1:4" x14ac:dyDescent="0.3">
      <c r="A370" s="7" t="s">
        <v>693</v>
      </c>
      <c r="B370" s="10" t="s">
        <v>694</v>
      </c>
      <c r="C370" s="22">
        <v>13</v>
      </c>
    </row>
    <row r="371" spans="1:4" x14ac:dyDescent="0.3">
      <c r="A371" s="7" t="s">
        <v>695</v>
      </c>
      <c r="B371" s="9" t="s">
        <v>696</v>
      </c>
      <c r="C371" s="22">
        <v>13</v>
      </c>
    </row>
    <row r="372" spans="1:4" ht="28.8" x14ac:dyDescent="0.3">
      <c r="A372" s="7" t="s">
        <v>697</v>
      </c>
      <c r="B372" s="8" t="s">
        <v>698</v>
      </c>
      <c r="C372" s="22">
        <v>13</v>
      </c>
      <c r="D372" s="39" t="s">
        <v>1776</v>
      </c>
    </row>
    <row r="373" spans="1:4" ht="28.8" x14ac:dyDescent="0.3">
      <c r="A373" s="7" t="s">
        <v>1</v>
      </c>
      <c r="B373" s="8" t="s">
        <v>699</v>
      </c>
      <c r="C373" s="22">
        <v>13</v>
      </c>
      <c r="D373" s="39" t="s">
        <v>1775</v>
      </c>
    </row>
    <row r="374" spans="1:4" x14ac:dyDescent="0.3">
      <c r="A374" s="7" t="s">
        <v>700</v>
      </c>
      <c r="B374" s="9" t="s">
        <v>701</v>
      </c>
      <c r="C374" s="22">
        <v>13</v>
      </c>
    </row>
    <row r="375" spans="1:4" x14ac:dyDescent="0.3">
      <c r="A375" s="7" t="s">
        <v>702</v>
      </c>
      <c r="B375" s="8" t="s">
        <v>703</v>
      </c>
      <c r="C375" s="22">
        <v>13</v>
      </c>
    </row>
    <row r="376" spans="1:4" x14ac:dyDescent="0.3">
      <c r="A376" s="7" t="s">
        <v>704</v>
      </c>
      <c r="B376" s="8" t="s">
        <v>705</v>
      </c>
      <c r="C376" s="22">
        <v>13</v>
      </c>
    </row>
    <row r="377" spans="1:4" x14ac:dyDescent="0.3">
      <c r="A377" s="7" t="s">
        <v>706</v>
      </c>
      <c r="B377" s="8" t="s">
        <v>707</v>
      </c>
      <c r="C377" s="22">
        <v>13</v>
      </c>
    </row>
    <row r="378" spans="1:4" x14ac:dyDescent="0.3">
      <c r="A378" s="7" t="s">
        <v>708</v>
      </c>
      <c r="B378" s="10" t="s">
        <v>709</v>
      </c>
      <c r="C378" s="22">
        <v>13</v>
      </c>
    </row>
    <row r="379" spans="1:4" x14ac:dyDescent="0.3">
      <c r="A379" s="7" t="s">
        <v>710</v>
      </c>
      <c r="B379" s="10" t="s">
        <v>711</v>
      </c>
      <c r="C379" s="22">
        <v>13</v>
      </c>
    </row>
    <row r="380" spans="1:4" x14ac:dyDescent="0.3">
      <c r="A380" s="7" t="s">
        <v>712</v>
      </c>
      <c r="B380" s="9" t="s">
        <v>713</v>
      </c>
      <c r="C380" s="22">
        <v>13</v>
      </c>
    </row>
    <row r="381" spans="1:4" x14ac:dyDescent="0.3">
      <c r="A381" s="7" t="s">
        <v>714</v>
      </c>
      <c r="B381" s="8" t="s">
        <v>588</v>
      </c>
      <c r="C381" s="22">
        <v>13</v>
      </c>
    </row>
    <row r="382" spans="1:4" x14ac:dyDescent="0.3">
      <c r="A382" s="7" t="s">
        <v>715</v>
      </c>
      <c r="B382" s="8" t="s">
        <v>590</v>
      </c>
      <c r="C382" s="22">
        <v>13</v>
      </c>
    </row>
    <row r="383" spans="1:4" x14ac:dyDescent="0.3">
      <c r="A383" s="7" t="s">
        <v>716</v>
      </c>
      <c r="B383" s="8" t="s">
        <v>602</v>
      </c>
      <c r="C383" s="22">
        <v>13</v>
      </c>
    </row>
    <row r="384" spans="1:4" x14ac:dyDescent="0.3">
      <c r="A384" s="7" t="s">
        <v>717</v>
      </c>
      <c r="B384" s="8" t="s">
        <v>256</v>
      </c>
      <c r="C384" s="22">
        <v>14</v>
      </c>
    </row>
    <row r="385" spans="1:3" x14ac:dyDescent="0.3">
      <c r="A385" s="7" t="s">
        <v>718</v>
      </c>
      <c r="B385" s="8" t="s">
        <v>719</v>
      </c>
      <c r="C385" s="22">
        <v>14</v>
      </c>
    </row>
    <row r="386" spans="1:3" x14ac:dyDescent="0.3">
      <c r="A386" s="7" t="s">
        <v>720</v>
      </c>
      <c r="B386" s="8" t="s">
        <v>721</v>
      </c>
      <c r="C386" s="22">
        <v>14</v>
      </c>
    </row>
    <row r="387" spans="1:3" x14ac:dyDescent="0.3">
      <c r="A387" s="7" t="s">
        <v>722</v>
      </c>
      <c r="B387" s="8" t="s">
        <v>723</v>
      </c>
      <c r="C387" s="22">
        <v>14</v>
      </c>
    </row>
    <row r="388" spans="1:3" x14ac:dyDescent="0.3">
      <c r="A388" s="7" t="s">
        <v>724</v>
      </c>
      <c r="B388" s="8" t="s">
        <v>725</v>
      </c>
      <c r="C388" s="22">
        <v>14</v>
      </c>
    </row>
    <row r="389" spans="1:3" x14ac:dyDescent="0.3">
      <c r="A389" s="7" t="s">
        <v>726</v>
      </c>
      <c r="B389" s="10" t="s">
        <v>727</v>
      </c>
      <c r="C389" s="22">
        <v>14</v>
      </c>
    </row>
    <row r="390" spans="1:3" x14ac:dyDescent="0.3">
      <c r="A390" s="7" t="s">
        <v>728</v>
      </c>
      <c r="B390" s="10" t="s">
        <v>729</v>
      </c>
      <c r="C390" s="22">
        <v>14</v>
      </c>
    </row>
    <row r="391" spans="1:3" x14ac:dyDescent="0.3">
      <c r="A391" s="7" t="s">
        <v>730</v>
      </c>
      <c r="B391" s="10" t="s">
        <v>731</v>
      </c>
      <c r="C391" s="22">
        <v>14</v>
      </c>
    </row>
    <row r="392" spans="1:3" x14ac:dyDescent="0.3">
      <c r="A392" s="7" t="s">
        <v>732</v>
      </c>
      <c r="B392" s="8" t="s">
        <v>733</v>
      </c>
      <c r="C392" s="22">
        <v>15</v>
      </c>
    </row>
    <row r="393" spans="1:3" x14ac:dyDescent="0.3">
      <c r="A393" s="7" t="s">
        <v>734</v>
      </c>
      <c r="B393" s="8" t="s">
        <v>735</v>
      </c>
      <c r="C393" s="22">
        <v>14</v>
      </c>
    </row>
    <row r="394" spans="1:3" x14ac:dyDescent="0.3">
      <c r="A394" s="7" t="s">
        <v>736</v>
      </c>
      <c r="B394" s="11" t="s">
        <v>737</v>
      </c>
      <c r="C394" s="22">
        <v>14</v>
      </c>
    </row>
    <row r="395" spans="1:3" x14ac:dyDescent="0.3">
      <c r="A395" s="7" t="s">
        <v>738</v>
      </c>
      <c r="B395" s="11" t="s">
        <v>621</v>
      </c>
      <c r="C395" s="22">
        <v>14</v>
      </c>
    </row>
    <row r="396" spans="1:3" x14ac:dyDescent="0.3">
      <c r="A396" s="7" t="s">
        <v>739</v>
      </c>
      <c r="B396" s="8" t="s">
        <v>622</v>
      </c>
      <c r="C396" s="22">
        <v>13</v>
      </c>
    </row>
    <row r="397" spans="1:3" x14ac:dyDescent="0.3">
      <c r="A397" s="7" t="s">
        <v>740</v>
      </c>
      <c r="B397" s="8" t="s">
        <v>624</v>
      </c>
      <c r="C397" s="22">
        <v>13</v>
      </c>
    </row>
    <row r="398" spans="1:3" x14ac:dyDescent="0.3">
      <c r="A398" s="7" t="s">
        <v>741</v>
      </c>
      <c r="B398" s="8" t="s">
        <v>626</v>
      </c>
      <c r="C398" s="22">
        <v>13</v>
      </c>
    </row>
    <row r="399" spans="1:3" x14ac:dyDescent="0.3">
      <c r="A399" s="7" t="s">
        <v>742</v>
      </c>
      <c r="B399" s="8" t="s">
        <v>633</v>
      </c>
      <c r="C399" s="22">
        <v>13</v>
      </c>
    </row>
    <row r="400" spans="1:3" x14ac:dyDescent="0.3">
      <c r="A400" s="7" t="s">
        <v>743</v>
      </c>
      <c r="B400" s="8" t="s">
        <v>640</v>
      </c>
      <c r="C400" s="22">
        <v>13</v>
      </c>
    </row>
    <row r="401" spans="1:3" x14ac:dyDescent="0.3">
      <c r="A401" s="7" t="s">
        <v>744</v>
      </c>
      <c r="B401" s="8" t="s">
        <v>676</v>
      </c>
      <c r="C401" s="22">
        <v>13</v>
      </c>
    </row>
    <row r="402" spans="1:3" x14ac:dyDescent="0.3">
      <c r="A402" s="7" t="s">
        <v>745</v>
      </c>
      <c r="B402" s="8" t="s">
        <v>678</v>
      </c>
      <c r="C402" s="22">
        <v>15</v>
      </c>
    </row>
    <row r="403" spans="1:3" x14ac:dyDescent="0.3">
      <c r="A403" s="7" t="s">
        <v>746</v>
      </c>
      <c r="B403" s="8" t="s">
        <v>747</v>
      </c>
      <c r="C403" s="22">
        <v>13</v>
      </c>
    </row>
    <row r="404" spans="1:3" x14ac:dyDescent="0.3">
      <c r="A404" s="7" t="s">
        <v>748</v>
      </c>
      <c r="B404" s="8" t="s">
        <v>749</v>
      </c>
      <c r="C404" s="22">
        <v>13</v>
      </c>
    </row>
    <row r="405" spans="1:3" x14ac:dyDescent="0.3">
      <c r="A405" s="7" t="s">
        <v>750</v>
      </c>
      <c r="B405" s="8" t="s">
        <v>751</v>
      </c>
      <c r="C405" s="22">
        <v>13</v>
      </c>
    </row>
    <row r="406" spans="1:3" x14ac:dyDescent="0.3">
      <c r="A406" s="7" t="s">
        <v>752</v>
      </c>
      <c r="B406" s="8" t="s">
        <v>753</v>
      </c>
      <c r="C406" s="22">
        <v>13</v>
      </c>
    </row>
    <row r="407" spans="1:3" x14ac:dyDescent="0.3">
      <c r="A407" s="7" t="s">
        <v>754</v>
      </c>
      <c r="B407" s="10" t="s">
        <v>755</v>
      </c>
      <c r="C407" s="22">
        <v>13</v>
      </c>
    </row>
    <row r="408" spans="1:3" x14ac:dyDescent="0.3">
      <c r="A408" s="7" t="s">
        <v>756</v>
      </c>
      <c r="B408" s="8" t="s">
        <v>605</v>
      </c>
      <c r="C408" s="22">
        <v>20</v>
      </c>
    </row>
    <row r="409" spans="1:3" x14ac:dyDescent="0.3">
      <c r="A409" s="7" t="s">
        <v>757</v>
      </c>
      <c r="B409" s="8" t="s">
        <v>607</v>
      </c>
      <c r="C409" s="22">
        <v>20</v>
      </c>
    </row>
    <row r="410" spans="1:3" x14ac:dyDescent="0.3">
      <c r="A410" s="7" t="s">
        <v>758</v>
      </c>
      <c r="B410" s="8" t="s">
        <v>609</v>
      </c>
      <c r="C410" s="22">
        <v>20</v>
      </c>
    </row>
    <row r="411" spans="1:3" x14ac:dyDescent="0.3">
      <c r="A411" s="7" t="s">
        <v>759</v>
      </c>
      <c r="B411" s="10" t="s">
        <v>760</v>
      </c>
      <c r="C411" s="22">
        <v>20</v>
      </c>
    </row>
    <row r="412" spans="1:3" x14ac:dyDescent="0.3">
      <c r="A412" s="7" t="s">
        <v>761</v>
      </c>
      <c r="B412" s="8" t="s">
        <v>762</v>
      </c>
      <c r="C412" s="22">
        <v>19</v>
      </c>
    </row>
    <row r="413" spans="1:3" x14ac:dyDescent="0.3">
      <c r="A413" s="7" t="s">
        <v>763</v>
      </c>
      <c r="B413" s="9" t="s">
        <v>535</v>
      </c>
      <c r="C413" s="22">
        <v>20</v>
      </c>
    </row>
    <row r="414" spans="1:3" x14ac:dyDescent="0.3">
      <c r="A414" s="7" t="s">
        <v>764</v>
      </c>
      <c r="B414" s="9" t="s">
        <v>765</v>
      </c>
      <c r="C414" s="22">
        <v>20</v>
      </c>
    </row>
    <row r="415" spans="1:3" x14ac:dyDescent="0.3">
      <c r="A415" s="7" t="s">
        <v>766</v>
      </c>
      <c r="B415" s="28" t="s">
        <v>767</v>
      </c>
      <c r="C415" s="22">
        <v>20</v>
      </c>
    </row>
    <row r="416" spans="1:3" x14ac:dyDescent="0.3">
      <c r="A416" s="7" t="s">
        <v>768</v>
      </c>
      <c r="B416" s="11" t="s">
        <v>621</v>
      </c>
      <c r="C416" s="22">
        <v>20</v>
      </c>
    </row>
    <row r="417" spans="1:3" x14ac:dyDescent="0.3">
      <c r="A417" s="7" t="s">
        <v>769</v>
      </c>
      <c r="B417" s="8" t="s">
        <v>698</v>
      </c>
      <c r="C417" s="22">
        <v>19</v>
      </c>
    </row>
    <row r="418" spans="1:3" x14ac:dyDescent="0.3">
      <c r="A418" s="7" t="s">
        <v>770</v>
      </c>
      <c r="B418" s="8" t="s">
        <v>699</v>
      </c>
      <c r="C418" s="22">
        <v>19</v>
      </c>
    </row>
    <row r="419" spans="1:3" x14ac:dyDescent="0.3">
      <c r="A419" s="7" t="s">
        <v>771</v>
      </c>
      <c r="B419" s="8" t="s">
        <v>772</v>
      </c>
      <c r="C419" s="22">
        <v>19</v>
      </c>
    </row>
    <row r="420" spans="1:3" x14ac:dyDescent="0.3">
      <c r="A420" s="7" t="s">
        <v>773</v>
      </c>
      <c r="B420" s="8" t="s">
        <v>774</v>
      </c>
      <c r="C420" s="22">
        <v>19</v>
      </c>
    </row>
    <row r="421" spans="1:3" x14ac:dyDescent="0.3">
      <c r="A421" s="7" t="s">
        <v>775</v>
      </c>
      <c r="B421" s="10" t="s">
        <v>776</v>
      </c>
      <c r="C421" s="22">
        <v>19</v>
      </c>
    </row>
    <row r="422" spans="1:3" x14ac:dyDescent="0.3">
      <c r="A422" s="7" t="s">
        <v>777</v>
      </c>
      <c r="B422" s="9" t="s">
        <v>778</v>
      </c>
      <c r="C422" s="22">
        <v>19</v>
      </c>
    </row>
    <row r="423" spans="1:3" x14ac:dyDescent="0.3">
      <c r="A423" s="7" t="s">
        <v>779</v>
      </c>
      <c r="B423" s="9" t="s">
        <v>780</v>
      </c>
      <c r="C423" s="22">
        <v>19</v>
      </c>
    </row>
    <row r="424" spans="1:3" x14ac:dyDescent="0.3">
      <c r="A424" s="7" t="s">
        <v>781</v>
      </c>
      <c r="B424" s="9" t="s">
        <v>782</v>
      </c>
      <c r="C424" s="22">
        <v>19</v>
      </c>
    </row>
    <row r="425" spans="1:3" x14ac:dyDescent="0.3">
      <c r="A425" s="7" t="s">
        <v>783</v>
      </c>
      <c r="B425" s="8" t="s">
        <v>256</v>
      </c>
      <c r="C425" s="22">
        <v>20</v>
      </c>
    </row>
    <row r="426" spans="1:3" x14ac:dyDescent="0.3">
      <c r="A426" s="7" t="s">
        <v>784</v>
      </c>
      <c r="B426" s="8" t="s">
        <v>721</v>
      </c>
      <c r="C426" s="22">
        <v>20</v>
      </c>
    </row>
    <row r="427" spans="1:3" x14ac:dyDescent="0.3">
      <c r="A427" s="7" t="s">
        <v>785</v>
      </c>
      <c r="B427" s="8" t="s">
        <v>723</v>
      </c>
      <c r="C427" s="22">
        <v>20</v>
      </c>
    </row>
    <row r="428" spans="1:3" x14ac:dyDescent="0.3">
      <c r="A428" s="7" t="s">
        <v>786</v>
      </c>
      <c r="B428" s="8" t="s">
        <v>725</v>
      </c>
      <c r="C428" s="22">
        <v>20</v>
      </c>
    </row>
    <row r="429" spans="1:3" x14ac:dyDescent="0.3">
      <c r="A429" s="7" t="s">
        <v>787</v>
      </c>
      <c r="B429" s="8" t="s">
        <v>611</v>
      </c>
      <c r="C429" s="22">
        <v>20</v>
      </c>
    </row>
    <row r="430" spans="1:3" x14ac:dyDescent="0.3">
      <c r="A430" s="7" t="s">
        <v>788</v>
      </c>
      <c r="B430" s="10" t="s">
        <v>727</v>
      </c>
      <c r="C430" s="22">
        <v>20</v>
      </c>
    </row>
    <row r="431" spans="1:3" x14ac:dyDescent="0.3">
      <c r="A431" s="7" t="s">
        <v>789</v>
      </c>
      <c r="B431" s="10" t="s">
        <v>729</v>
      </c>
      <c r="C431" s="22">
        <v>20</v>
      </c>
    </row>
    <row r="432" spans="1:3" x14ac:dyDescent="0.3">
      <c r="A432" s="7" t="s">
        <v>790</v>
      </c>
      <c r="B432" s="10" t="s">
        <v>731</v>
      </c>
      <c r="C432" s="22">
        <v>20</v>
      </c>
    </row>
    <row r="433" spans="1:3" x14ac:dyDescent="0.3">
      <c r="A433" s="7" t="s">
        <v>791</v>
      </c>
      <c r="B433" s="8" t="s">
        <v>762</v>
      </c>
      <c r="C433" s="22">
        <v>20</v>
      </c>
    </row>
    <row r="434" spans="1:3" x14ac:dyDescent="0.3">
      <c r="A434" s="7" t="s">
        <v>792</v>
      </c>
      <c r="B434" s="8" t="s">
        <v>570</v>
      </c>
      <c r="C434" s="22">
        <v>20</v>
      </c>
    </row>
    <row r="435" spans="1:3" x14ac:dyDescent="0.3">
      <c r="A435" s="7" t="s">
        <v>793</v>
      </c>
      <c r="B435" s="28" t="s">
        <v>794</v>
      </c>
      <c r="C435" s="22">
        <v>20</v>
      </c>
    </row>
    <row r="436" spans="1:3" x14ac:dyDescent="0.3">
      <c r="A436" s="7" t="s">
        <v>795</v>
      </c>
      <c r="B436" s="11" t="s">
        <v>621</v>
      </c>
      <c r="C436" s="22">
        <v>20</v>
      </c>
    </row>
    <row r="437" spans="1:3" x14ac:dyDescent="0.3">
      <c r="A437" s="7" t="s">
        <v>796</v>
      </c>
      <c r="B437" s="8" t="s">
        <v>797</v>
      </c>
      <c r="C437" s="22">
        <v>19</v>
      </c>
    </row>
    <row r="438" spans="1:3" x14ac:dyDescent="0.3">
      <c r="A438" s="7" t="s">
        <v>798</v>
      </c>
      <c r="B438" s="8" t="s">
        <v>799</v>
      </c>
      <c r="C438" s="22">
        <v>19</v>
      </c>
    </row>
    <row r="439" spans="1:3" x14ac:dyDescent="0.3">
      <c r="A439" s="7" t="s">
        <v>800</v>
      </c>
      <c r="B439" s="8" t="s">
        <v>772</v>
      </c>
      <c r="C439" s="22">
        <v>19</v>
      </c>
    </row>
    <row r="440" spans="1:3" x14ac:dyDescent="0.3">
      <c r="A440" s="7" t="s">
        <v>801</v>
      </c>
      <c r="B440" s="8" t="s">
        <v>774</v>
      </c>
      <c r="C440" s="22">
        <v>19</v>
      </c>
    </row>
    <row r="441" spans="1:3" x14ac:dyDescent="0.3">
      <c r="A441" s="7" t="s">
        <v>802</v>
      </c>
      <c r="B441" s="10" t="s">
        <v>803</v>
      </c>
      <c r="C441" s="22">
        <v>13</v>
      </c>
    </row>
    <row r="442" spans="1:3" x14ac:dyDescent="0.3">
      <c r="A442" s="7" t="s">
        <v>804</v>
      </c>
      <c r="B442" s="10" t="s">
        <v>805</v>
      </c>
      <c r="C442" s="22">
        <v>13</v>
      </c>
    </row>
    <row r="443" spans="1:3" x14ac:dyDescent="0.3">
      <c r="A443" s="7" t="s">
        <v>806</v>
      </c>
      <c r="B443" s="10" t="s">
        <v>807</v>
      </c>
      <c r="C443" s="22">
        <v>13</v>
      </c>
    </row>
    <row r="444" spans="1:3" x14ac:dyDescent="0.3">
      <c r="A444" s="7" t="s">
        <v>808</v>
      </c>
      <c r="B444" s="10" t="s">
        <v>809</v>
      </c>
      <c r="C444" s="22">
        <v>13</v>
      </c>
    </row>
    <row r="445" spans="1:3" x14ac:dyDescent="0.3">
      <c r="A445" s="7" t="s">
        <v>810</v>
      </c>
      <c r="B445" s="10" t="s">
        <v>811</v>
      </c>
      <c r="C445" s="22">
        <v>13</v>
      </c>
    </row>
    <row r="446" spans="1:3" x14ac:dyDescent="0.3">
      <c r="A446" s="7" t="s">
        <v>812</v>
      </c>
      <c r="B446" s="10" t="s">
        <v>813</v>
      </c>
      <c r="C446" s="22">
        <v>13</v>
      </c>
    </row>
    <row r="447" spans="1:3" x14ac:dyDescent="0.3">
      <c r="A447" s="7" t="s">
        <v>814</v>
      </c>
      <c r="B447" s="10" t="s">
        <v>815</v>
      </c>
      <c r="C447" s="22">
        <v>13</v>
      </c>
    </row>
    <row r="448" spans="1:3" x14ac:dyDescent="0.3">
      <c r="A448" s="7" t="s">
        <v>816</v>
      </c>
      <c r="B448" s="10" t="s">
        <v>817</v>
      </c>
      <c r="C448" s="22">
        <v>13</v>
      </c>
    </row>
    <row r="449" spans="1:3" x14ac:dyDescent="0.3">
      <c r="A449" s="7" t="s">
        <v>818</v>
      </c>
      <c r="B449" s="10" t="s">
        <v>819</v>
      </c>
      <c r="C449" s="22">
        <v>13</v>
      </c>
    </row>
    <row r="450" spans="1:3" x14ac:dyDescent="0.3">
      <c r="A450" s="7" t="s">
        <v>820</v>
      </c>
      <c r="B450" s="10" t="s">
        <v>821</v>
      </c>
      <c r="C450" s="22">
        <v>13</v>
      </c>
    </row>
    <row r="451" spans="1:3" x14ac:dyDescent="0.3">
      <c r="A451" s="7" t="s">
        <v>822</v>
      </c>
      <c r="B451" s="10" t="s">
        <v>823</v>
      </c>
      <c r="C451" s="22">
        <v>13</v>
      </c>
    </row>
    <row r="452" spans="1:3" x14ac:dyDescent="0.3">
      <c r="A452" s="7" t="s">
        <v>824</v>
      </c>
      <c r="B452" s="10" t="s">
        <v>825</v>
      </c>
      <c r="C452" s="22">
        <v>13</v>
      </c>
    </row>
    <row r="453" spans="1:3" x14ac:dyDescent="0.3">
      <c r="A453" s="7" t="s">
        <v>826</v>
      </c>
      <c r="B453" s="10" t="s">
        <v>827</v>
      </c>
      <c r="C453" s="22">
        <v>13</v>
      </c>
    </row>
    <row r="454" spans="1:3" x14ac:dyDescent="0.3">
      <c r="A454" s="7" t="s">
        <v>828</v>
      </c>
      <c r="B454" s="10" t="s">
        <v>829</v>
      </c>
      <c r="C454" s="22">
        <v>13</v>
      </c>
    </row>
    <row r="455" spans="1:3" x14ac:dyDescent="0.3">
      <c r="A455" s="7" t="s">
        <v>830</v>
      </c>
      <c r="B455" s="10" t="s">
        <v>831</v>
      </c>
      <c r="C455" s="22">
        <v>13</v>
      </c>
    </row>
    <row r="456" spans="1:3" x14ac:dyDescent="0.3">
      <c r="A456" s="7" t="s">
        <v>832</v>
      </c>
      <c r="B456" s="10" t="s">
        <v>833</v>
      </c>
      <c r="C456" s="22">
        <v>13</v>
      </c>
    </row>
    <row r="457" spans="1:3" x14ac:dyDescent="0.3">
      <c r="A457" s="7" t="s">
        <v>834</v>
      </c>
      <c r="B457" s="10" t="s">
        <v>835</v>
      </c>
      <c r="C457" s="22">
        <v>24</v>
      </c>
    </row>
    <row r="458" spans="1:3" x14ac:dyDescent="0.3">
      <c r="A458" s="7" t="s">
        <v>836</v>
      </c>
      <c r="B458" s="10" t="s">
        <v>837</v>
      </c>
      <c r="C458" s="22">
        <v>24</v>
      </c>
    </row>
    <row r="459" spans="1:3" x14ac:dyDescent="0.3">
      <c r="A459" s="7" t="s">
        <v>838</v>
      </c>
      <c r="B459" s="10" t="s">
        <v>839</v>
      </c>
      <c r="C459" s="22">
        <v>24</v>
      </c>
    </row>
    <row r="460" spans="1:3" x14ac:dyDescent="0.3">
      <c r="A460" s="7" t="s">
        <v>840</v>
      </c>
      <c r="B460" s="10" t="s">
        <v>841</v>
      </c>
      <c r="C460" s="22">
        <v>24</v>
      </c>
    </row>
    <row r="461" spans="1:3" x14ac:dyDescent="0.3">
      <c r="A461" s="7" t="s">
        <v>842</v>
      </c>
      <c r="B461" s="10" t="s">
        <v>843</v>
      </c>
      <c r="C461" s="22">
        <v>24</v>
      </c>
    </row>
    <row r="462" spans="1:3" x14ac:dyDescent="0.3">
      <c r="A462" s="7" t="s">
        <v>844</v>
      </c>
      <c r="B462" s="10" t="s">
        <v>845</v>
      </c>
      <c r="C462" s="22">
        <v>24</v>
      </c>
    </row>
    <row r="463" spans="1:3" x14ac:dyDescent="0.3">
      <c r="A463" s="7" t="s">
        <v>846</v>
      </c>
      <c r="B463" s="10" t="s">
        <v>847</v>
      </c>
      <c r="C463" s="22">
        <v>24</v>
      </c>
    </row>
    <row r="464" spans="1:3" x14ac:dyDescent="0.3">
      <c r="A464" s="7" t="s">
        <v>848</v>
      </c>
      <c r="B464" s="8" t="s">
        <v>849</v>
      </c>
      <c r="C464" s="22">
        <v>24</v>
      </c>
    </row>
    <row r="465" spans="1:3" x14ac:dyDescent="0.3">
      <c r="A465" s="7" t="s">
        <v>850</v>
      </c>
      <c r="B465" s="8" t="s">
        <v>851</v>
      </c>
      <c r="C465" s="22">
        <v>24</v>
      </c>
    </row>
    <row r="466" spans="1:3" x14ac:dyDescent="0.3">
      <c r="A466" s="7" t="s">
        <v>852</v>
      </c>
      <c r="B466" s="8" t="s">
        <v>853</v>
      </c>
      <c r="C466" s="22">
        <v>24</v>
      </c>
    </row>
    <row r="467" spans="1:3" x14ac:dyDescent="0.3">
      <c r="A467" s="7" t="s">
        <v>854</v>
      </c>
      <c r="B467" s="11" t="s">
        <v>855</v>
      </c>
      <c r="C467" s="22">
        <v>24</v>
      </c>
    </row>
    <row r="468" spans="1:3" x14ac:dyDescent="0.3">
      <c r="A468" s="7" t="s">
        <v>856</v>
      </c>
      <c r="B468" s="8" t="s">
        <v>857</v>
      </c>
      <c r="C468" s="22">
        <v>25</v>
      </c>
    </row>
    <row r="469" spans="1:3" x14ac:dyDescent="0.3">
      <c r="A469" s="7" t="s">
        <v>858</v>
      </c>
      <c r="B469" s="8" t="s">
        <v>859</v>
      </c>
      <c r="C469" s="22">
        <v>25</v>
      </c>
    </row>
    <row r="470" spans="1:3" x14ac:dyDescent="0.3">
      <c r="A470" s="7" t="s">
        <v>860</v>
      </c>
      <c r="B470" s="8" t="s">
        <v>861</v>
      </c>
      <c r="C470" s="22">
        <v>25</v>
      </c>
    </row>
    <row r="471" spans="1:3" x14ac:dyDescent="0.3">
      <c r="A471" s="7" t="s">
        <v>862</v>
      </c>
      <c r="B471" s="8" t="s">
        <v>863</v>
      </c>
      <c r="C471" s="22">
        <v>25</v>
      </c>
    </row>
    <row r="472" spans="1:3" x14ac:dyDescent="0.3">
      <c r="A472" s="7" t="s">
        <v>864</v>
      </c>
      <c r="B472" s="8" t="s">
        <v>865</v>
      </c>
      <c r="C472" s="22">
        <v>25</v>
      </c>
    </row>
    <row r="473" spans="1:3" x14ac:dyDescent="0.3">
      <c r="A473" s="7" t="s">
        <v>866</v>
      </c>
      <c r="B473" s="8" t="s">
        <v>867</v>
      </c>
      <c r="C473" s="22">
        <v>25</v>
      </c>
    </row>
    <row r="474" spans="1:3" x14ac:dyDescent="0.3">
      <c r="A474" s="7" t="s">
        <v>868</v>
      </c>
      <c r="B474" s="8" t="s">
        <v>869</v>
      </c>
      <c r="C474" s="22">
        <v>25</v>
      </c>
    </row>
    <row r="475" spans="1:3" x14ac:dyDescent="0.3">
      <c r="A475" s="7" t="s">
        <v>870</v>
      </c>
      <c r="B475" s="8" t="s">
        <v>871</v>
      </c>
      <c r="C475" s="22">
        <v>25</v>
      </c>
    </row>
    <row r="476" spans="1:3" x14ac:dyDescent="0.3">
      <c r="A476" s="7" t="s">
        <v>872</v>
      </c>
      <c r="B476" s="8" t="s">
        <v>873</v>
      </c>
      <c r="C476" s="22">
        <v>25</v>
      </c>
    </row>
    <row r="477" spans="1:3" x14ac:dyDescent="0.3">
      <c r="A477" s="7" t="s">
        <v>874</v>
      </c>
      <c r="B477" s="8" t="s">
        <v>875</v>
      </c>
      <c r="C477" s="22">
        <v>25</v>
      </c>
    </row>
    <row r="478" spans="1:3" x14ac:dyDescent="0.3">
      <c r="A478" s="7" t="s">
        <v>876</v>
      </c>
      <c r="B478" s="8" t="s">
        <v>877</v>
      </c>
      <c r="C478" s="22">
        <v>25</v>
      </c>
    </row>
    <row r="479" spans="1:3" x14ac:dyDescent="0.3">
      <c r="A479" s="7" t="s">
        <v>878</v>
      </c>
      <c r="B479" s="8" t="s">
        <v>879</v>
      </c>
      <c r="C479" s="22">
        <v>25</v>
      </c>
    </row>
    <row r="480" spans="1:3" x14ac:dyDescent="0.3">
      <c r="A480" s="7" t="s">
        <v>880</v>
      </c>
      <c r="B480" s="8" t="s">
        <v>881</v>
      </c>
      <c r="C480" s="22">
        <v>25</v>
      </c>
    </row>
    <row r="481" spans="1:3" x14ac:dyDescent="0.3">
      <c r="A481" s="7" t="s">
        <v>882</v>
      </c>
      <c r="B481" s="8" t="s">
        <v>883</v>
      </c>
      <c r="C481" s="22">
        <v>25</v>
      </c>
    </row>
    <row r="482" spans="1:3" x14ac:dyDescent="0.3">
      <c r="A482" s="7" t="s">
        <v>884</v>
      </c>
      <c r="B482" s="8" t="s">
        <v>885</v>
      </c>
      <c r="C482" s="22">
        <v>25</v>
      </c>
    </row>
    <row r="483" spans="1:3" x14ac:dyDescent="0.3">
      <c r="A483" s="7" t="s">
        <v>886</v>
      </c>
      <c r="B483" s="8" t="s">
        <v>887</v>
      </c>
      <c r="C483" s="22">
        <v>25</v>
      </c>
    </row>
    <row r="484" spans="1:3" x14ac:dyDescent="0.3">
      <c r="A484" s="7" t="s">
        <v>888</v>
      </c>
      <c r="B484" s="8" t="s">
        <v>889</v>
      </c>
      <c r="C484" s="22">
        <v>25</v>
      </c>
    </row>
    <row r="485" spans="1:3" x14ac:dyDescent="0.3">
      <c r="A485" s="7" t="s">
        <v>890</v>
      </c>
      <c r="B485" s="8" t="s">
        <v>887</v>
      </c>
      <c r="C485" s="22">
        <v>25</v>
      </c>
    </row>
    <row r="486" spans="1:3" x14ac:dyDescent="0.3">
      <c r="A486" s="7" t="s">
        <v>891</v>
      </c>
      <c r="B486" s="8" t="s">
        <v>889</v>
      </c>
      <c r="C486" s="22">
        <v>25</v>
      </c>
    </row>
    <row r="487" spans="1:3" x14ac:dyDescent="0.3">
      <c r="A487" s="7" t="s">
        <v>892</v>
      </c>
      <c r="B487" s="8" t="s">
        <v>893</v>
      </c>
      <c r="C487" s="22">
        <v>25</v>
      </c>
    </row>
    <row r="488" spans="1:3" x14ac:dyDescent="0.3">
      <c r="A488" s="7" t="s">
        <v>894</v>
      </c>
      <c r="B488" s="8" t="s">
        <v>895</v>
      </c>
      <c r="C488" s="22">
        <v>25</v>
      </c>
    </row>
    <row r="489" spans="1:3" x14ac:dyDescent="0.3">
      <c r="A489" s="7" t="s">
        <v>896</v>
      </c>
      <c r="B489" s="8" t="s">
        <v>897</v>
      </c>
      <c r="C489" s="22">
        <v>25</v>
      </c>
    </row>
    <row r="490" spans="1:3" x14ac:dyDescent="0.3">
      <c r="A490" s="7" t="s">
        <v>898</v>
      </c>
      <c r="B490" s="8" t="s">
        <v>887</v>
      </c>
      <c r="C490" s="22">
        <v>25</v>
      </c>
    </row>
    <row r="491" spans="1:3" x14ac:dyDescent="0.3">
      <c r="A491" s="7" t="s">
        <v>899</v>
      </c>
      <c r="B491" s="8" t="s">
        <v>887</v>
      </c>
      <c r="C491" s="22">
        <v>25</v>
      </c>
    </row>
    <row r="492" spans="1:3" x14ac:dyDescent="0.3">
      <c r="A492" s="7" t="s">
        <v>900</v>
      </c>
      <c r="B492" s="8" t="s">
        <v>893</v>
      </c>
      <c r="C492" s="22">
        <v>25</v>
      </c>
    </row>
    <row r="493" spans="1:3" x14ac:dyDescent="0.3">
      <c r="A493" s="7" t="s">
        <v>901</v>
      </c>
      <c r="B493" s="8" t="s">
        <v>902</v>
      </c>
      <c r="C493" s="22">
        <v>25</v>
      </c>
    </row>
    <row r="494" spans="1:3" x14ac:dyDescent="0.3">
      <c r="A494" s="7" t="s">
        <v>903</v>
      </c>
      <c r="B494" s="8" t="s">
        <v>904</v>
      </c>
      <c r="C494" s="22">
        <v>25</v>
      </c>
    </row>
    <row r="495" spans="1:3" x14ac:dyDescent="0.3">
      <c r="A495" s="7" t="s">
        <v>905</v>
      </c>
      <c r="B495" s="8" t="s">
        <v>906</v>
      </c>
      <c r="C495" s="22">
        <v>25</v>
      </c>
    </row>
    <row r="496" spans="1:3" x14ac:dyDescent="0.3">
      <c r="A496" s="7" t="s">
        <v>907</v>
      </c>
      <c r="B496" s="8" t="s">
        <v>908</v>
      </c>
      <c r="C496" s="22">
        <v>25</v>
      </c>
    </row>
    <row r="497" spans="1:3" x14ac:dyDescent="0.3">
      <c r="A497" s="7" t="s">
        <v>909</v>
      </c>
      <c r="B497" s="8" t="s">
        <v>910</v>
      </c>
      <c r="C497" s="22">
        <v>25</v>
      </c>
    </row>
    <row r="498" spans="1:3" x14ac:dyDescent="0.3">
      <c r="A498" s="7" t="s">
        <v>911</v>
      </c>
      <c r="B498" s="8" t="s">
        <v>912</v>
      </c>
      <c r="C498" s="22">
        <v>25</v>
      </c>
    </row>
    <row r="499" spans="1:3" x14ac:dyDescent="0.3">
      <c r="A499" s="7" t="s">
        <v>913</v>
      </c>
      <c r="B499" s="8" t="s">
        <v>914</v>
      </c>
      <c r="C499" s="22">
        <v>25</v>
      </c>
    </row>
    <row r="500" spans="1:3" x14ac:dyDescent="0.3">
      <c r="A500" s="7" t="s">
        <v>915</v>
      </c>
      <c r="B500" s="8" t="s">
        <v>916</v>
      </c>
      <c r="C500" s="22">
        <v>25</v>
      </c>
    </row>
    <row r="501" spans="1:3" x14ac:dyDescent="0.3">
      <c r="A501" s="7" t="s">
        <v>917</v>
      </c>
      <c r="B501" s="8" t="s">
        <v>918</v>
      </c>
      <c r="C501" s="22">
        <v>25</v>
      </c>
    </row>
    <row r="502" spans="1:3" x14ac:dyDescent="0.3">
      <c r="A502" s="7" t="s">
        <v>919</v>
      </c>
      <c r="B502" s="8" t="s">
        <v>920</v>
      </c>
      <c r="C502" s="22">
        <v>25</v>
      </c>
    </row>
    <row r="503" spans="1:3" x14ac:dyDescent="0.3">
      <c r="A503" s="7" t="s">
        <v>921</v>
      </c>
      <c r="B503" s="8" t="s">
        <v>922</v>
      </c>
      <c r="C503" s="22">
        <v>25</v>
      </c>
    </row>
    <row r="504" spans="1:3" x14ac:dyDescent="0.3">
      <c r="A504" s="7" t="s">
        <v>923</v>
      </c>
      <c r="B504" s="8" t="s">
        <v>924</v>
      </c>
      <c r="C504" s="22">
        <v>25</v>
      </c>
    </row>
    <row r="505" spans="1:3" x14ac:dyDescent="0.3">
      <c r="A505" s="7" t="s">
        <v>925</v>
      </c>
      <c r="B505" s="8" t="s">
        <v>926</v>
      </c>
      <c r="C505" s="22">
        <v>25</v>
      </c>
    </row>
    <row r="506" spans="1:3" x14ac:dyDescent="0.3">
      <c r="A506" s="7" t="s">
        <v>927</v>
      </c>
      <c r="B506" s="8" t="s">
        <v>928</v>
      </c>
      <c r="C506" s="22">
        <v>25</v>
      </c>
    </row>
    <row r="507" spans="1:3" x14ac:dyDescent="0.3">
      <c r="A507" s="7" t="s">
        <v>929</v>
      </c>
      <c r="B507" s="8" t="s">
        <v>930</v>
      </c>
      <c r="C507" s="22">
        <v>25</v>
      </c>
    </row>
    <row r="508" spans="1:3" x14ac:dyDescent="0.3">
      <c r="A508" s="7" t="s">
        <v>931</v>
      </c>
      <c r="B508" s="8" t="s">
        <v>932</v>
      </c>
      <c r="C508" s="22">
        <v>25</v>
      </c>
    </row>
    <row r="509" spans="1:3" x14ac:dyDescent="0.3">
      <c r="A509" s="7" t="s">
        <v>933</v>
      </c>
      <c r="B509" s="8" t="s">
        <v>934</v>
      </c>
      <c r="C509" s="22">
        <v>25</v>
      </c>
    </row>
    <row r="510" spans="1:3" x14ac:dyDescent="0.3">
      <c r="A510" s="7" t="s">
        <v>935</v>
      </c>
      <c r="B510" s="8" t="s">
        <v>936</v>
      </c>
      <c r="C510" s="22">
        <v>25</v>
      </c>
    </row>
    <row r="511" spans="1:3" x14ac:dyDescent="0.3">
      <c r="A511" s="7" t="s">
        <v>937</v>
      </c>
      <c r="B511" s="8" t="s">
        <v>934</v>
      </c>
      <c r="C511" s="22">
        <v>25</v>
      </c>
    </row>
    <row r="512" spans="1:3" x14ac:dyDescent="0.3">
      <c r="A512" s="7" t="s">
        <v>938</v>
      </c>
      <c r="B512" s="8" t="s">
        <v>939</v>
      </c>
      <c r="C512" s="22">
        <v>25</v>
      </c>
    </row>
    <row r="513" spans="1:3" x14ac:dyDescent="0.3">
      <c r="A513" s="7" t="s">
        <v>940</v>
      </c>
      <c r="B513" s="8" t="s">
        <v>941</v>
      </c>
      <c r="C513" s="22">
        <v>25</v>
      </c>
    </row>
    <row r="514" spans="1:3" x14ac:dyDescent="0.3">
      <c r="A514" s="7" t="s">
        <v>942</v>
      </c>
      <c r="B514" s="8" t="s">
        <v>943</v>
      </c>
      <c r="C514" s="22">
        <v>25</v>
      </c>
    </row>
    <row r="515" spans="1:3" x14ac:dyDescent="0.3">
      <c r="A515" s="7" t="s">
        <v>944</v>
      </c>
      <c r="B515" s="8" t="s">
        <v>945</v>
      </c>
      <c r="C515" s="22">
        <v>25</v>
      </c>
    </row>
    <row r="516" spans="1:3" x14ac:dyDescent="0.3">
      <c r="A516" s="7" t="s">
        <v>946</v>
      </c>
      <c r="B516" s="8" t="s">
        <v>934</v>
      </c>
      <c r="C516" s="22">
        <v>25</v>
      </c>
    </row>
    <row r="517" spans="1:3" x14ac:dyDescent="0.3">
      <c r="A517" s="7" t="s">
        <v>947</v>
      </c>
      <c r="B517" s="8" t="s">
        <v>941</v>
      </c>
      <c r="C517" s="22">
        <v>25</v>
      </c>
    </row>
    <row r="518" spans="1:3" x14ac:dyDescent="0.3">
      <c r="A518" s="7" t="s">
        <v>948</v>
      </c>
      <c r="B518" s="8" t="s">
        <v>934</v>
      </c>
      <c r="C518" s="22">
        <v>25</v>
      </c>
    </row>
    <row r="519" spans="1:3" x14ac:dyDescent="0.3">
      <c r="A519" s="7" t="s">
        <v>949</v>
      </c>
      <c r="B519" s="8" t="s">
        <v>941</v>
      </c>
      <c r="C519" s="22">
        <v>25</v>
      </c>
    </row>
    <row r="520" spans="1:3" x14ac:dyDescent="0.3">
      <c r="A520" s="7" t="s">
        <v>950</v>
      </c>
      <c r="B520" s="10" t="s">
        <v>951</v>
      </c>
      <c r="C520" s="22">
        <v>25</v>
      </c>
    </row>
    <row r="521" spans="1:3" x14ac:dyDescent="0.3">
      <c r="A521" s="7" t="s">
        <v>952</v>
      </c>
      <c r="B521" s="10" t="s">
        <v>953</v>
      </c>
      <c r="C521" s="22">
        <v>25</v>
      </c>
    </row>
    <row r="522" spans="1:3" x14ac:dyDescent="0.3">
      <c r="A522" s="7" t="s">
        <v>954</v>
      </c>
      <c r="B522" s="8" t="s">
        <v>955</v>
      </c>
      <c r="C522" s="22">
        <v>26</v>
      </c>
    </row>
    <row r="523" spans="1:3" x14ac:dyDescent="0.3">
      <c r="A523" s="7" t="s">
        <v>956</v>
      </c>
      <c r="B523" s="8" t="s">
        <v>957</v>
      </c>
      <c r="C523" s="22">
        <v>26</v>
      </c>
    </row>
    <row r="524" spans="1:3" x14ac:dyDescent="0.3">
      <c r="A524" s="7" t="s">
        <v>958</v>
      </c>
      <c r="B524" s="8" t="s">
        <v>959</v>
      </c>
      <c r="C524" s="22">
        <v>27</v>
      </c>
    </row>
    <row r="525" spans="1:3" x14ac:dyDescent="0.3">
      <c r="A525" s="7" t="s">
        <v>960</v>
      </c>
      <c r="B525" s="8" t="s">
        <v>961</v>
      </c>
      <c r="C525" s="22">
        <v>1</v>
      </c>
    </row>
    <row r="526" spans="1:3" x14ac:dyDescent="0.3">
      <c r="A526" s="7" t="s">
        <v>962</v>
      </c>
      <c r="B526" s="8" t="s">
        <v>963</v>
      </c>
      <c r="C526" s="22">
        <v>1</v>
      </c>
    </row>
    <row r="527" spans="1:3" x14ac:dyDescent="0.3">
      <c r="A527" s="7" t="s">
        <v>964</v>
      </c>
      <c r="B527" s="8" t="s">
        <v>965</v>
      </c>
      <c r="C527" s="22">
        <v>1</v>
      </c>
    </row>
    <row r="528" spans="1:3" x14ac:dyDescent="0.3">
      <c r="A528" s="7" t="s">
        <v>966</v>
      </c>
      <c r="B528" s="8" t="s">
        <v>967</v>
      </c>
      <c r="C528" s="22">
        <v>1</v>
      </c>
    </row>
    <row r="529" spans="1:3" x14ac:dyDescent="0.3">
      <c r="A529" s="7" t="s">
        <v>968</v>
      </c>
      <c r="B529" s="8" t="s">
        <v>969</v>
      </c>
      <c r="C529" s="22">
        <v>1</v>
      </c>
    </row>
    <row r="530" spans="1:3" x14ac:dyDescent="0.3">
      <c r="A530" s="7" t="s">
        <v>970</v>
      </c>
      <c r="B530" s="10" t="s">
        <v>971</v>
      </c>
      <c r="C530" s="22">
        <v>1</v>
      </c>
    </row>
    <row r="531" spans="1:3" x14ac:dyDescent="0.3">
      <c r="A531" s="7" t="s">
        <v>972</v>
      </c>
      <c r="B531" s="8" t="s">
        <v>973</v>
      </c>
      <c r="C531" s="22">
        <v>1</v>
      </c>
    </row>
    <row r="532" spans="1:3" x14ac:dyDescent="0.3">
      <c r="A532" s="7" t="s">
        <v>974</v>
      </c>
      <c r="B532" s="8" t="s">
        <v>975</v>
      </c>
      <c r="C532" s="22">
        <v>1</v>
      </c>
    </row>
    <row r="533" spans="1:3" x14ac:dyDescent="0.3">
      <c r="A533" s="7" t="s">
        <v>976</v>
      </c>
      <c r="B533" s="8" t="s">
        <v>977</v>
      </c>
      <c r="C533" s="22">
        <v>1</v>
      </c>
    </row>
    <row r="534" spans="1:3" x14ac:dyDescent="0.3">
      <c r="A534" s="7" t="s">
        <v>978</v>
      </c>
      <c r="B534" s="8" t="s">
        <v>979</v>
      </c>
      <c r="C534" s="22">
        <v>1</v>
      </c>
    </row>
    <row r="535" spans="1:3" x14ac:dyDescent="0.3">
      <c r="A535" s="7" t="s">
        <v>980</v>
      </c>
      <c r="B535" s="8" t="s">
        <v>981</v>
      </c>
      <c r="C535" s="22">
        <v>1</v>
      </c>
    </row>
    <row r="536" spans="1:3" x14ac:dyDescent="0.3">
      <c r="A536" s="7" t="s">
        <v>982</v>
      </c>
      <c r="B536" s="8" t="s">
        <v>983</v>
      </c>
      <c r="C536" s="22">
        <v>1</v>
      </c>
    </row>
    <row r="537" spans="1:3" x14ac:dyDescent="0.3">
      <c r="A537" s="7" t="s">
        <v>984</v>
      </c>
      <c r="B537" s="8" t="s">
        <v>985</v>
      </c>
      <c r="C537" s="22">
        <v>1</v>
      </c>
    </row>
    <row r="538" spans="1:3" x14ac:dyDescent="0.3">
      <c r="A538" s="7" t="s">
        <v>986</v>
      </c>
      <c r="B538" s="8" t="s">
        <v>987</v>
      </c>
      <c r="C538" s="22">
        <v>1</v>
      </c>
    </row>
    <row r="539" spans="1:3" x14ac:dyDescent="0.3">
      <c r="A539" s="7" t="s">
        <v>988</v>
      </c>
      <c r="B539" s="8" t="s">
        <v>989</v>
      </c>
      <c r="C539" s="22">
        <v>1</v>
      </c>
    </row>
    <row r="540" spans="1:3" x14ac:dyDescent="0.3">
      <c r="A540" s="7" t="s">
        <v>990</v>
      </c>
      <c r="B540" s="8" t="s">
        <v>991</v>
      </c>
      <c r="C540" s="22">
        <v>1</v>
      </c>
    </row>
    <row r="541" spans="1:3" x14ac:dyDescent="0.3">
      <c r="A541" s="7" t="s">
        <v>992</v>
      </c>
      <c r="B541" s="8" t="s">
        <v>993</v>
      </c>
      <c r="C541" s="22">
        <v>1</v>
      </c>
    </row>
    <row r="542" spans="1:3" x14ac:dyDescent="0.3">
      <c r="A542" s="7" t="s">
        <v>994</v>
      </c>
      <c r="B542" s="8" t="s">
        <v>995</v>
      </c>
      <c r="C542" s="22">
        <v>1</v>
      </c>
    </row>
    <row r="543" spans="1:3" x14ac:dyDescent="0.3">
      <c r="A543" s="7" t="s">
        <v>996</v>
      </c>
      <c r="B543" s="10" t="s">
        <v>997</v>
      </c>
      <c r="C543" s="22">
        <v>1</v>
      </c>
    </row>
    <row r="544" spans="1:3" x14ac:dyDescent="0.3">
      <c r="A544" s="7" t="s">
        <v>998</v>
      </c>
      <c r="B544" s="8" t="s">
        <v>999</v>
      </c>
      <c r="C544" s="22">
        <v>1</v>
      </c>
    </row>
    <row r="545" spans="1:3" ht="26.4" x14ac:dyDescent="0.3">
      <c r="A545" s="7" t="s">
        <v>1000</v>
      </c>
      <c r="B545" s="10" t="s">
        <v>1001</v>
      </c>
      <c r="C545" s="22">
        <v>1</v>
      </c>
    </row>
    <row r="546" spans="1:3" x14ac:dyDescent="0.3">
      <c r="A546" s="7" t="s">
        <v>1002</v>
      </c>
      <c r="B546" s="8" t="s">
        <v>1003</v>
      </c>
      <c r="C546" s="22">
        <v>1</v>
      </c>
    </row>
    <row r="547" spans="1:3" x14ac:dyDescent="0.3">
      <c r="A547" s="7" t="s">
        <v>1004</v>
      </c>
      <c r="B547" s="8" t="s">
        <v>1005</v>
      </c>
      <c r="C547" s="22">
        <v>1</v>
      </c>
    </row>
    <row r="548" spans="1:3" x14ac:dyDescent="0.3">
      <c r="A548" s="7" t="s">
        <v>1006</v>
      </c>
      <c r="B548" s="8" t="s">
        <v>1007</v>
      </c>
      <c r="C548" s="22">
        <v>1</v>
      </c>
    </row>
    <row r="549" spans="1:3" x14ac:dyDescent="0.3">
      <c r="A549" s="7" t="s">
        <v>1008</v>
      </c>
      <c r="B549" s="8" t="s">
        <v>1009</v>
      </c>
      <c r="C549" s="22">
        <v>1</v>
      </c>
    </row>
    <row r="550" spans="1:3" x14ac:dyDescent="0.3">
      <c r="A550" s="7" t="s">
        <v>1010</v>
      </c>
      <c r="B550" s="8" t="s">
        <v>1011</v>
      </c>
      <c r="C550" s="22">
        <v>1</v>
      </c>
    </row>
    <row r="551" spans="1:3" x14ac:dyDescent="0.3">
      <c r="A551" s="7" t="s">
        <v>1012</v>
      </c>
      <c r="B551" s="8" t="s">
        <v>1013</v>
      </c>
      <c r="C551" s="22">
        <v>1</v>
      </c>
    </row>
    <row r="552" spans="1:3" x14ac:dyDescent="0.3">
      <c r="A552" s="7" t="s">
        <v>1014</v>
      </c>
      <c r="B552" s="8" t="s">
        <v>1015</v>
      </c>
      <c r="C552" s="22">
        <v>1</v>
      </c>
    </row>
    <row r="553" spans="1:3" x14ac:dyDescent="0.3">
      <c r="A553" s="7" t="s">
        <v>1016</v>
      </c>
      <c r="B553" s="8" t="s">
        <v>1017</v>
      </c>
      <c r="C553" s="22">
        <v>1</v>
      </c>
    </row>
    <row r="554" spans="1:3" x14ac:dyDescent="0.3">
      <c r="A554" s="7" t="s">
        <v>1018</v>
      </c>
      <c r="B554" s="8" t="s">
        <v>1019</v>
      </c>
      <c r="C554" s="22">
        <v>1</v>
      </c>
    </row>
    <row r="555" spans="1:3" x14ac:dyDescent="0.3">
      <c r="A555" s="7" t="s">
        <v>1020</v>
      </c>
      <c r="B555" s="8" t="s">
        <v>1021</v>
      </c>
      <c r="C555" s="22">
        <v>1</v>
      </c>
    </row>
    <row r="556" spans="1:3" x14ac:dyDescent="0.3">
      <c r="A556" s="7" t="s">
        <v>1022</v>
      </c>
      <c r="B556" s="8" t="s">
        <v>1023</v>
      </c>
      <c r="C556" s="22">
        <v>1</v>
      </c>
    </row>
    <row r="557" spans="1:3" x14ac:dyDescent="0.3">
      <c r="A557" s="7" t="s">
        <v>1024</v>
      </c>
      <c r="B557" s="8" t="s">
        <v>1025</v>
      </c>
      <c r="C557" s="22">
        <v>1</v>
      </c>
    </row>
    <row r="558" spans="1:3" x14ac:dyDescent="0.3">
      <c r="A558" s="7" t="s">
        <v>1026</v>
      </c>
      <c r="B558" s="8" t="s">
        <v>1027</v>
      </c>
      <c r="C558" s="22">
        <v>1</v>
      </c>
    </row>
    <row r="559" spans="1:3" x14ac:dyDescent="0.3">
      <c r="A559" s="7" t="s">
        <v>1028</v>
      </c>
      <c r="B559" s="8" t="s">
        <v>1029</v>
      </c>
      <c r="C559" s="22">
        <v>1</v>
      </c>
    </row>
    <row r="560" spans="1:3" x14ac:dyDescent="0.3">
      <c r="A560" s="7" t="s">
        <v>1030</v>
      </c>
      <c r="B560" s="8" t="s">
        <v>1031</v>
      </c>
      <c r="C560" s="22">
        <v>1</v>
      </c>
    </row>
    <row r="561" spans="1:3" x14ac:dyDescent="0.3">
      <c r="A561" s="7" t="s">
        <v>1032</v>
      </c>
      <c r="B561" s="10" t="s">
        <v>1033</v>
      </c>
      <c r="C561" s="22">
        <v>1</v>
      </c>
    </row>
    <row r="562" spans="1:3" x14ac:dyDescent="0.3">
      <c r="A562" s="7" t="s">
        <v>1034</v>
      </c>
      <c r="B562" s="10" t="s">
        <v>1035</v>
      </c>
      <c r="C562" s="22">
        <v>1</v>
      </c>
    </row>
    <row r="563" spans="1:3" x14ac:dyDescent="0.3">
      <c r="A563" s="7" t="s">
        <v>1036</v>
      </c>
      <c r="B563" s="10" t="s">
        <v>1037</v>
      </c>
      <c r="C563" s="22">
        <v>1</v>
      </c>
    </row>
    <row r="564" spans="1:3" x14ac:dyDescent="0.3">
      <c r="A564" s="7" t="s">
        <v>1038</v>
      </c>
      <c r="B564" s="10" t="s">
        <v>1039</v>
      </c>
      <c r="C564" s="22">
        <v>1</v>
      </c>
    </row>
    <row r="565" spans="1:3" x14ac:dyDescent="0.3">
      <c r="A565" s="7" t="s">
        <v>1040</v>
      </c>
      <c r="B565" s="10" t="s">
        <v>1041</v>
      </c>
      <c r="C565" s="22">
        <v>1</v>
      </c>
    </row>
    <row r="566" spans="1:3" x14ac:dyDescent="0.3">
      <c r="A566" s="7" t="s">
        <v>1042</v>
      </c>
      <c r="B566" s="10" t="s">
        <v>1043</v>
      </c>
      <c r="C566" s="22">
        <v>1</v>
      </c>
    </row>
    <row r="567" spans="1:3" x14ac:dyDescent="0.3">
      <c r="A567" s="7" t="s">
        <v>1044</v>
      </c>
      <c r="B567" s="10" t="s">
        <v>1045</v>
      </c>
      <c r="C567" s="22">
        <v>1</v>
      </c>
    </row>
    <row r="568" spans="1:3" x14ac:dyDescent="0.3">
      <c r="A568" s="7" t="s">
        <v>1046</v>
      </c>
      <c r="B568" s="10" t="s">
        <v>1047</v>
      </c>
      <c r="C568" s="22">
        <v>1</v>
      </c>
    </row>
    <row r="569" spans="1:3" x14ac:dyDescent="0.3">
      <c r="A569" s="7" t="s">
        <v>1048</v>
      </c>
      <c r="B569" s="10" t="s">
        <v>1049</v>
      </c>
      <c r="C569" s="22">
        <v>1</v>
      </c>
    </row>
    <row r="570" spans="1:3" x14ac:dyDescent="0.3">
      <c r="A570" s="7" t="s">
        <v>1050</v>
      </c>
      <c r="B570" s="10" t="s">
        <v>1035</v>
      </c>
      <c r="C570" s="22">
        <v>1</v>
      </c>
    </row>
    <row r="571" spans="1:3" x14ac:dyDescent="0.3">
      <c r="A571" s="7" t="s">
        <v>1051</v>
      </c>
      <c r="B571" s="10" t="s">
        <v>1037</v>
      </c>
      <c r="C571" s="22">
        <v>1</v>
      </c>
    </row>
    <row r="572" spans="1:3" x14ac:dyDescent="0.3">
      <c r="A572" s="7" t="s">
        <v>1052</v>
      </c>
      <c r="B572" s="10" t="s">
        <v>1039</v>
      </c>
      <c r="C572" s="22">
        <v>1</v>
      </c>
    </row>
    <row r="573" spans="1:3" x14ac:dyDescent="0.3">
      <c r="A573" s="7" t="s">
        <v>1053</v>
      </c>
      <c r="B573" s="10" t="s">
        <v>1041</v>
      </c>
      <c r="C573" s="22">
        <v>1</v>
      </c>
    </row>
    <row r="574" spans="1:3" x14ac:dyDescent="0.3">
      <c r="A574" s="7" t="s">
        <v>1054</v>
      </c>
      <c r="B574" s="10" t="s">
        <v>1043</v>
      </c>
      <c r="C574" s="22">
        <v>1</v>
      </c>
    </row>
    <row r="575" spans="1:3" x14ac:dyDescent="0.3">
      <c r="A575" s="7" t="s">
        <v>1055</v>
      </c>
      <c r="B575" s="10" t="s">
        <v>1045</v>
      </c>
      <c r="C575" s="22">
        <v>1</v>
      </c>
    </row>
    <row r="576" spans="1:3" x14ac:dyDescent="0.3">
      <c r="A576" s="7" t="s">
        <v>1056</v>
      </c>
      <c r="B576" s="10" t="s">
        <v>1057</v>
      </c>
      <c r="C576" s="22">
        <v>1</v>
      </c>
    </row>
    <row r="577" spans="1:3" x14ac:dyDescent="0.3">
      <c r="A577" s="7" t="s">
        <v>1058</v>
      </c>
      <c r="B577" s="10" t="s">
        <v>1059</v>
      </c>
      <c r="C577" s="22">
        <v>1</v>
      </c>
    </row>
    <row r="578" spans="1:3" x14ac:dyDescent="0.3">
      <c r="A578" s="7" t="s">
        <v>1060</v>
      </c>
      <c r="B578" s="10" t="s">
        <v>1061</v>
      </c>
      <c r="C578" s="22">
        <v>1</v>
      </c>
    </row>
    <row r="579" spans="1:3" x14ac:dyDescent="0.3">
      <c r="A579" s="7" t="s">
        <v>1062</v>
      </c>
      <c r="B579" s="8" t="s">
        <v>1063</v>
      </c>
      <c r="C579" s="22">
        <v>1</v>
      </c>
    </row>
    <row r="580" spans="1:3" x14ac:dyDescent="0.3">
      <c r="A580" s="7" t="s">
        <v>1064</v>
      </c>
      <c r="B580" s="8" t="s">
        <v>1065</v>
      </c>
      <c r="C580" s="22">
        <v>1</v>
      </c>
    </row>
    <row r="581" spans="1:3" x14ac:dyDescent="0.3">
      <c r="A581" s="7" t="s">
        <v>1066</v>
      </c>
      <c r="B581" s="8" t="s">
        <v>1067</v>
      </c>
      <c r="C581" s="22">
        <v>1</v>
      </c>
    </row>
    <row r="582" spans="1:3" x14ac:dyDescent="0.3">
      <c r="A582" s="7" t="s">
        <v>1068</v>
      </c>
      <c r="B582" s="8" t="s">
        <v>1069</v>
      </c>
      <c r="C582" s="22">
        <v>1</v>
      </c>
    </row>
    <row r="583" spans="1:3" x14ac:dyDescent="0.3">
      <c r="A583" s="7" t="s">
        <v>1070</v>
      </c>
      <c r="B583" s="8" t="s">
        <v>1071</v>
      </c>
      <c r="C583" s="22">
        <v>1</v>
      </c>
    </row>
    <row r="584" spans="1:3" x14ac:dyDescent="0.3">
      <c r="A584" s="7" t="s">
        <v>1072</v>
      </c>
      <c r="B584" s="10" t="s">
        <v>1073</v>
      </c>
      <c r="C584" s="22">
        <v>1</v>
      </c>
    </row>
    <row r="585" spans="1:3" x14ac:dyDescent="0.3">
      <c r="A585" s="7" t="s">
        <v>1074</v>
      </c>
      <c r="B585" s="10" t="s">
        <v>1075</v>
      </c>
      <c r="C585" s="22">
        <v>1</v>
      </c>
    </row>
    <row r="586" spans="1:3" x14ac:dyDescent="0.3">
      <c r="A586" s="7" t="s">
        <v>1076</v>
      </c>
      <c r="B586" s="8" t="s">
        <v>1077</v>
      </c>
      <c r="C586" s="22">
        <v>1</v>
      </c>
    </row>
    <row r="587" spans="1:3" x14ac:dyDescent="0.3">
      <c r="A587" s="7" t="s">
        <v>1078</v>
      </c>
      <c r="B587" s="9" t="s">
        <v>1079</v>
      </c>
      <c r="C587" s="22">
        <v>1</v>
      </c>
    </row>
    <row r="588" spans="1:3" x14ac:dyDescent="0.3">
      <c r="A588" s="7" t="s">
        <v>1080</v>
      </c>
      <c r="B588" s="8" t="s">
        <v>1081</v>
      </c>
      <c r="C588" s="22">
        <v>1</v>
      </c>
    </row>
    <row r="589" spans="1:3" x14ac:dyDescent="0.3">
      <c r="A589" s="7" t="s">
        <v>1082</v>
      </c>
      <c r="B589" s="9" t="s">
        <v>1083</v>
      </c>
      <c r="C589" s="22">
        <v>1</v>
      </c>
    </row>
    <row r="590" spans="1:3" x14ac:dyDescent="0.3">
      <c r="A590" s="7" t="s">
        <v>1084</v>
      </c>
      <c r="B590" s="8" t="s">
        <v>1085</v>
      </c>
      <c r="C590" s="22">
        <v>1</v>
      </c>
    </row>
    <row r="591" spans="1:3" x14ac:dyDescent="0.3">
      <c r="A591" s="7" t="s">
        <v>1086</v>
      </c>
      <c r="B591" s="8" t="s">
        <v>1087</v>
      </c>
      <c r="C591" s="22">
        <v>1</v>
      </c>
    </row>
    <row r="592" spans="1:3" ht="26.4" x14ac:dyDescent="0.3">
      <c r="A592" s="7" t="s">
        <v>1088</v>
      </c>
      <c r="B592" s="8" t="s">
        <v>1089</v>
      </c>
      <c r="C592" s="22">
        <v>1</v>
      </c>
    </row>
    <row r="593" spans="1:3" x14ac:dyDescent="0.3">
      <c r="A593" s="7" t="s">
        <v>1090</v>
      </c>
      <c r="B593" s="10" t="s">
        <v>1091</v>
      </c>
      <c r="C593" s="22">
        <v>1</v>
      </c>
    </row>
    <row r="594" spans="1:3" x14ac:dyDescent="0.3">
      <c r="A594" s="7" t="s">
        <v>1092</v>
      </c>
      <c r="B594" s="8" t="s">
        <v>1093</v>
      </c>
      <c r="C594" s="22">
        <v>1</v>
      </c>
    </row>
    <row r="595" spans="1:3" x14ac:dyDescent="0.3">
      <c r="A595" s="7" t="s">
        <v>1094</v>
      </c>
      <c r="B595" s="10" t="s">
        <v>1095</v>
      </c>
      <c r="C595" s="22">
        <v>1</v>
      </c>
    </row>
    <row r="596" spans="1:3" x14ac:dyDescent="0.3">
      <c r="A596" s="7" t="s">
        <v>1096</v>
      </c>
      <c r="B596" s="8" t="s">
        <v>1097</v>
      </c>
      <c r="C596" s="22">
        <v>1</v>
      </c>
    </row>
    <row r="597" spans="1:3" x14ac:dyDescent="0.3">
      <c r="A597" s="7" t="s">
        <v>1098</v>
      </c>
      <c r="B597" s="10" t="s">
        <v>1099</v>
      </c>
      <c r="C597" s="22">
        <v>1</v>
      </c>
    </row>
    <row r="598" spans="1:3" x14ac:dyDescent="0.3">
      <c r="A598" s="7" t="s">
        <v>1100</v>
      </c>
      <c r="B598" s="8" t="s">
        <v>1101</v>
      </c>
      <c r="C598" s="22">
        <v>1</v>
      </c>
    </row>
    <row r="599" spans="1:3" x14ac:dyDescent="0.3">
      <c r="A599" s="7" t="s">
        <v>1102</v>
      </c>
      <c r="B599" s="9" t="s">
        <v>1103</v>
      </c>
      <c r="C599" s="22">
        <v>1</v>
      </c>
    </row>
    <row r="600" spans="1:3" x14ac:dyDescent="0.3">
      <c r="A600" s="7" t="s">
        <v>1104</v>
      </c>
      <c r="B600" s="8" t="s">
        <v>1105</v>
      </c>
      <c r="C600" s="22">
        <v>1</v>
      </c>
    </row>
    <row r="601" spans="1:3" x14ac:dyDescent="0.3">
      <c r="A601" s="7" t="s">
        <v>1106</v>
      </c>
      <c r="B601" s="8" t="s">
        <v>1107</v>
      </c>
      <c r="C601" s="22">
        <v>4</v>
      </c>
    </row>
    <row r="602" spans="1:3" x14ac:dyDescent="0.3">
      <c r="A602" s="7" t="s">
        <v>1108</v>
      </c>
      <c r="B602" s="8" t="s">
        <v>1109</v>
      </c>
      <c r="C602" s="22">
        <v>4</v>
      </c>
    </row>
    <row r="603" spans="1:3" x14ac:dyDescent="0.3">
      <c r="A603" s="7" t="s">
        <v>1110</v>
      </c>
      <c r="B603" s="8" t="s">
        <v>1107</v>
      </c>
      <c r="C603" s="22">
        <v>4</v>
      </c>
    </row>
    <row r="604" spans="1:3" x14ac:dyDescent="0.3">
      <c r="A604" s="7" t="s">
        <v>1111</v>
      </c>
      <c r="B604" s="8" t="s">
        <v>1109</v>
      </c>
      <c r="C604" s="22">
        <v>4</v>
      </c>
    </row>
    <row r="605" spans="1:3" x14ac:dyDescent="0.3">
      <c r="A605" s="7" t="s">
        <v>1112</v>
      </c>
      <c r="B605" s="8" t="s">
        <v>1113</v>
      </c>
      <c r="C605" s="22">
        <v>4</v>
      </c>
    </row>
    <row r="606" spans="1:3" x14ac:dyDescent="0.3">
      <c r="A606" s="7" t="s">
        <v>1114</v>
      </c>
      <c r="B606" s="8" t="s">
        <v>1115</v>
      </c>
      <c r="C606" s="22">
        <v>4</v>
      </c>
    </row>
    <row r="607" spans="1:3" x14ac:dyDescent="0.3">
      <c r="A607" s="7" t="s">
        <v>1116</v>
      </c>
      <c r="B607" s="8" t="s">
        <v>1117</v>
      </c>
      <c r="C607" s="22">
        <v>4</v>
      </c>
    </row>
    <row r="608" spans="1:3" x14ac:dyDescent="0.3">
      <c r="A608" s="7" t="s">
        <v>1118</v>
      </c>
      <c r="B608" s="8" t="s">
        <v>1119</v>
      </c>
      <c r="C608" s="22">
        <v>4</v>
      </c>
    </row>
    <row r="609" spans="1:3" x14ac:dyDescent="0.3">
      <c r="A609" s="7" t="s">
        <v>1120</v>
      </c>
      <c r="B609" s="8" t="s">
        <v>1121</v>
      </c>
      <c r="C609" s="22">
        <v>4</v>
      </c>
    </row>
    <row r="610" spans="1:3" x14ac:dyDescent="0.3">
      <c r="A610" s="7" t="s">
        <v>1122</v>
      </c>
      <c r="B610" s="8" t="s">
        <v>1123</v>
      </c>
      <c r="C610" s="22">
        <v>4</v>
      </c>
    </row>
    <row r="611" spans="1:3" x14ac:dyDescent="0.3">
      <c r="A611" s="7" t="s">
        <v>1124</v>
      </c>
      <c r="B611" s="10" t="s">
        <v>1125</v>
      </c>
      <c r="C611" s="22">
        <v>2</v>
      </c>
    </row>
    <row r="612" spans="1:3" x14ac:dyDescent="0.3">
      <c r="A612" s="7" t="s">
        <v>1126</v>
      </c>
      <c r="B612" s="10" t="s">
        <v>1127</v>
      </c>
      <c r="C612" s="22">
        <v>2</v>
      </c>
    </row>
    <row r="613" spans="1:3" x14ac:dyDescent="0.3">
      <c r="A613" s="7" t="s">
        <v>1128</v>
      </c>
      <c r="B613" s="8" t="s">
        <v>1129</v>
      </c>
      <c r="C613" s="22">
        <v>2</v>
      </c>
    </row>
    <row r="614" spans="1:3" x14ac:dyDescent="0.3">
      <c r="A614" s="7" t="s">
        <v>1130</v>
      </c>
      <c r="B614" s="8" t="s">
        <v>1131</v>
      </c>
      <c r="C614" s="22">
        <v>5</v>
      </c>
    </row>
    <row r="615" spans="1:3" x14ac:dyDescent="0.3">
      <c r="A615" s="7" t="s">
        <v>1132</v>
      </c>
      <c r="B615" s="8" t="s">
        <v>1133</v>
      </c>
      <c r="C615" s="22">
        <v>5</v>
      </c>
    </row>
    <row r="616" spans="1:3" x14ac:dyDescent="0.3">
      <c r="A616" s="7" t="s">
        <v>1134</v>
      </c>
      <c r="B616" s="10" t="s">
        <v>1135</v>
      </c>
      <c r="C616" s="22">
        <v>5</v>
      </c>
    </row>
    <row r="617" spans="1:3" x14ac:dyDescent="0.3">
      <c r="A617" s="7" t="s">
        <v>1136</v>
      </c>
      <c r="B617" s="29" t="s">
        <v>1137</v>
      </c>
      <c r="C617" s="22">
        <v>5</v>
      </c>
    </row>
    <row r="618" spans="1:3" x14ac:dyDescent="0.3">
      <c r="A618" s="7" t="s">
        <v>1138</v>
      </c>
      <c r="B618" s="8" t="s">
        <v>609</v>
      </c>
      <c r="C618" s="22">
        <v>3</v>
      </c>
    </row>
    <row r="619" spans="1:3" x14ac:dyDescent="0.3">
      <c r="A619" s="7" t="s">
        <v>1139</v>
      </c>
      <c r="B619" s="8" t="s">
        <v>1140</v>
      </c>
      <c r="C619" s="22">
        <v>3</v>
      </c>
    </row>
    <row r="620" spans="1:3" x14ac:dyDescent="0.3">
      <c r="A620" s="7" t="s">
        <v>1141</v>
      </c>
      <c r="B620" s="8" t="s">
        <v>1142</v>
      </c>
      <c r="C620" s="22">
        <v>3</v>
      </c>
    </row>
    <row r="621" spans="1:3" x14ac:dyDescent="0.3">
      <c r="A621" s="7" t="s">
        <v>1143</v>
      </c>
      <c r="B621" s="8" t="s">
        <v>1144</v>
      </c>
      <c r="C621" s="22">
        <v>3</v>
      </c>
    </row>
    <row r="622" spans="1:3" x14ac:dyDescent="0.3">
      <c r="A622" s="7" t="s">
        <v>1145</v>
      </c>
      <c r="B622" s="8" t="s">
        <v>609</v>
      </c>
      <c r="C622" s="22">
        <v>3</v>
      </c>
    </row>
    <row r="623" spans="1:3" x14ac:dyDescent="0.3">
      <c r="A623" s="7" t="s">
        <v>1146</v>
      </c>
      <c r="B623" s="8" t="s">
        <v>1140</v>
      </c>
      <c r="C623" s="22">
        <v>3</v>
      </c>
    </row>
    <row r="624" spans="1:3" x14ac:dyDescent="0.3">
      <c r="A624" s="7" t="s">
        <v>1147</v>
      </c>
      <c r="B624" s="8" t="s">
        <v>1142</v>
      </c>
      <c r="C624" s="22">
        <v>3</v>
      </c>
    </row>
    <row r="625" spans="1:3" x14ac:dyDescent="0.3">
      <c r="A625" s="7" t="s">
        <v>1148</v>
      </c>
      <c r="B625" s="8" t="s">
        <v>1149</v>
      </c>
      <c r="C625" s="22">
        <v>3</v>
      </c>
    </row>
    <row r="626" spans="1:3" x14ac:dyDescent="0.3">
      <c r="A626" s="7" t="s">
        <v>1150</v>
      </c>
      <c r="B626" s="8" t="s">
        <v>1151</v>
      </c>
      <c r="C626" s="22">
        <v>3</v>
      </c>
    </row>
    <row r="627" spans="1:3" x14ac:dyDescent="0.3">
      <c r="A627" s="7" t="s">
        <v>1152</v>
      </c>
      <c r="B627" s="8" t="s">
        <v>1153</v>
      </c>
      <c r="C627" s="22">
        <v>3</v>
      </c>
    </row>
    <row r="628" spans="1:3" x14ac:dyDescent="0.3">
      <c r="A628" s="7" t="s">
        <v>1154</v>
      </c>
      <c r="B628" s="30" t="s">
        <v>1155</v>
      </c>
      <c r="C628" s="22">
        <v>3</v>
      </c>
    </row>
    <row r="629" spans="1:3" x14ac:dyDescent="0.3">
      <c r="A629" s="7" t="s">
        <v>1156</v>
      </c>
      <c r="B629" s="8" t="s">
        <v>1157</v>
      </c>
      <c r="C629" s="22">
        <v>3</v>
      </c>
    </row>
    <row r="630" spans="1:3" x14ac:dyDescent="0.3">
      <c r="A630" s="7" t="s">
        <v>1158</v>
      </c>
      <c r="B630" s="10" t="s">
        <v>1159</v>
      </c>
      <c r="C630" s="22">
        <v>3</v>
      </c>
    </row>
    <row r="631" spans="1:3" x14ac:dyDescent="0.3">
      <c r="A631" s="7" t="s">
        <v>1160</v>
      </c>
      <c r="B631" s="10" t="s">
        <v>1161</v>
      </c>
      <c r="C631" s="22">
        <v>3</v>
      </c>
    </row>
    <row r="632" spans="1:3" x14ac:dyDescent="0.3">
      <c r="A632" s="7" t="s">
        <v>1162</v>
      </c>
      <c r="B632" s="10" t="s">
        <v>1163</v>
      </c>
      <c r="C632" s="22">
        <v>3</v>
      </c>
    </row>
    <row r="633" spans="1:3" x14ac:dyDescent="0.3">
      <c r="A633" s="7" t="s">
        <v>1164</v>
      </c>
      <c r="B633" s="10" t="s">
        <v>1165</v>
      </c>
      <c r="C633" s="22">
        <v>3</v>
      </c>
    </row>
    <row r="634" spans="1:3" x14ac:dyDescent="0.3">
      <c r="A634" s="7" t="s">
        <v>1166</v>
      </c>
      <c r="B634" s="10" t="s">
        <v>1167</v>
      </c>
      <c r="C634" s="22">
        <v>3</v>
      </c>
    </row>
    <row r="635" spans="1:3" x14ac:dyDescent="0.3">
      <c r="A635" s="7" t="s">
        <v>1168</v>
      </c>
      <c r="B635" s="10" t="s">
        <v>1169</v>
      </c>
      <c r="C635" s="22">
        <v>3</v>
      </c>
    </row>
    <row r="636" spans="1:3" x14ac:dyDescent="0.3">
      <c r="A636" s="7" t="s">
        <v>1170</v>
      </c>
      <c r="B636" s="10" t="s">
        <v>1171</v>
      </c>
      <c r="C636" s="22">
        <v>3</v>
      </c>
    </row>
    <row r="637" spans="1:3" x14ac:dyDescent="0.3">
      <c r="A637" s="7" t="s">
        <v>1172</v>
      </c>
      <c r="B637" s="8" t="s">
        <v>1173</v>
      </c>
      <c r="C637" s="22">
        <v>3</v>
      </c>
    </row>
    <row r="638" spans="1:3" x14ac:dyDescent="0.3">
      <c r="A638" s="7" t="s">
        <v>1174</v>
      </c>
      <c r="B638" s="8" t="s">
        <v>1175</v>
      </c>
      <c r="C638" s="22">
        <v>3</v>
      </c>
    </row>
    <row r="639" spans="1:3" x14ac:dyDescent="0.3">
      <c r="A639" s="7" t="s">
        <v>1176</v>
      </c>
      <c r="B639" s="10" t="s">
        <v>1177</v>
      </c>
      <c r="C639" s="22">
        <v>3</v>
      </c>
    </row>
    <row r="640" spans="1:3" x14ac:dyDescent="0.3">
      <c r="A640" s="7" t="s">
        <v>1178</v>
      </c>
      <c r="B640" s="10" t="s">
        <v>1179</v>
      </c>
      <c r="C640" s="22">
        <v>3</v>
      </c>
    </row>
    <row r="641" spans="1:3" ht="26.4" x14ac:dyDescent="0.3">
      <c r="A641" s="7" t="s">
        <v>1180</v>
      </c>
      <c r="B641" s="10" t="s">
        <v>1181</v>
      </c>
      <c r="C641" s="22">
        <v>3</v>
      </c>
    </row>
    <row r="642" spans="1:3" x14ac:dyDescent="0.3">
      <c r="A642" s="7" t="s">
        <v>1182</v>
      </c>
      <c r="B642" s="10" t="s">
        <v>1183</v>
      </c>
      <c r="C642" s="22">
        <v>3</v>
      </c>
    </row>
    <row r="643" spans="1:3" x14ac:dyDescent="0.3">
      <c r="A643" s="7" t="s">
        <v>1184</v>
      </c>
      <c r="B643" s="10" t="s">
        <v>1185</v>
      </c>
      <c r="C643" s="22">
        <v>3</v>
      </c>
    </row>
    <row r="644" spans="1:3" x14ac:dyDescent="0.3">
      <c r="A644" s="7" t="s">
        <v>1186</v>
      </c>
      <c r="B644" s="11" t="s">
        <v>1187</v>
      </c>
      <c r="C644" s="22">
        <v>3</v>
      </c>
    </row>
    <row r="645" spans="1:3" x14ac:dyDescent="0.3">
      <c r="A645" s="7" t="s">
        <v>1188</v>
      </c>
      <c r="B645" s="11" t="s">
        <v>1189</v>
      </c>
      <c r="C645" s="22">
        <v>3</v>
      </c>
    </row>
    <row r="646" spans="1:3" x14ac:dyDescent="0.3">
      <c r="A646" s="7" t="s">
        <v>1190</v>
      </c>
      <c r="B646" s="8" t="s">
        <v>1191</v>
      </c>
      <c r="C646" s="22">
        <v>5</v>
      </c>
    </row>
    <row r="647" spans="1:3" x14ac:dyDescent="0.3">
      <c r="A647" s="7" t="s">
        <v>1192</v>
      </c>
      <c r="B647" s="8" t="s">
        <v>1193</v>
      </c>
      <c r="C647" s="22">
        <v>5</v>
      </c>
    </row>
    <row r="648" spans="1:3" x14ac:dyDescent="0.3">
      <c r="A648" s="7" t="s">
        <v>1194</v>
      </c>
      <c r="B648" s="8" t="s">
        <v>1195</v>
      </c>
      <c r="C648" s="22">
        <v>5</v>
      </c>
    </row>
    <row r="649" spans="1:3" x14ac:dyDescent="0.3">
      <c r="A649" s="7" t="s">
        <v>1196</v>
      </c>
      <c r="B649" s="8" t="s">
        <v>1197</v>
      </c>
      <c r="C649" s="22">
        <v>5</v>
      </c>
    </row>
    <row r="650" spans="1:3" x14ac:dyDescent="0.3">
      <c r="A650" s="7" t="s">
        <v>1198</v>
      </c>
      <c r="B650" s="8" t="s">
        <v>1199</v>
      </c>
      <c r="C650" s="22">
        <v>5</v>
      </c>
    </row>
    <row r="651" spans="1:3" x14ac:dyDescent="0.3">
      <c r="A651" s="7" t="s">
        <v>1200</v>
      </c>
      <c r="B651" s="8" t="s">
        <v>1201</v>
      </c>
      <c r="C651" s="22">
        <v>5</v>
      </c>
    </row>
    <row r="652" spans="1:3" x14ac:dyDescent="0.3">
      <c r="A652" s="7" t="s">
        <v>1202</v>
      </c>
      <c r="B652" s="8" t="s">
        <v>1203</v>
      </c>
      <c r="C652" s="22">
        <v>5</v>
      </c>
    </row>
    <row r="653" spans="1:3" x14ac:dyDescent="0.3">
      <c r="A653" s="7" t="s">
        <v>1204</v>
      </c>
      <c r="B653" s="8" t="s">
        <v>1205</v>
      </c>
      <c r="C653" s="22">
        <v>5</v>
      </c>
    </row>
    <row r="654" spans="1:3" x14ac:dyDescent="0.3">
      <c r="A654" s="7" t="s">
        <v>1206</v>
      </c>
      <c r="B654" s="8" t="s">
        <v>1207</v>
      </c>
      <c r="C654" s="22">
        <v>5</v>
      </c>
    </row>
    <row r="655" spans="1:3" x14ac:dyDescent="0.3">
      <c r="A655" s="7" t="s">
        <v>1208</v>
      </c>
      <c r="B655" s="8" t="s">
        <v>1209</v>
      </c>
      <c r="C655" s="22">
        <v>5</v>
      </c>
    </row>
    <row r="656" spans="1:3" x14ac:dyDescent="0.3">
      <c r="A656" s="7" t="s">
        <v>1210</v>
      </c>
      <c r="B656" s="8" t="s">
        <v>1211</v>
      </c>
      <c r="C656" s="22">
        <v>5</v>
      </c>
    </row>
    <row r="657" spans="1:3" x14ac:dyDescent="0.3">
      <c r="A657" s="7" t="s">
        <v>1212</v>
      </c>
      <c r="B657" s="8" t="s">
        <v>1213</v>
      </c>
      <c r="C657" s="22">
        <v>5</v>
      </c>
    </row>
    <row r="658" spans="1:3" x14ac:dyDescent="0.3">
      <c r="A658" s="7" t="s">
        <v>1214</v>
      </c>
      <c r="B658" s="8" t="s">
        <v>1215</v>
      </c>
      <c r="C658" s="22">
        <v>5</v>
      </c>
    </row>
    <row r="659" spans="1:3" x14ac:dyDescent="0.3">
      <c r="A659" s="7" t="s">
        <v>1216</v>
      </c>
      <c r="B659" s="8" t="s">
        <v>1217</v>
      </c>
      <c r="C659" s="22">
        <v>5</v>
      </c>
    </row>
    <row r="660" spans="1:3" x14ac:dyDescent="0.3">
      <c r="A660" s="7" t="s">
        <v>1218</v>
      </c>
      <c r="B660" s="8" t="s">
        <v>1219</v>
      </c>
      <c r="C660" s="22">
        <v>5</v>
      </c>
    </row>
    <row r="661" spans="1:3" x14ac:dyDescent="0.3">
      <c r="A661" s="7" t="s">
        <v>1220</v>
      </c>
      <c r="B661" s="8" t="s">
        <v>1221</v>
      </c>
      <c r="C661" s="22">
        <v>5</v>
      </c>
    </row>
    <row r="662" spans="1:3" x14ac:dyDescent="0.3">
      <c r="A662" s="7" t="s">
        <v>1222</v>
      </c>
      <c r="B662" s="8" t="s">
        <v>1223</v>
      </c>
      <c r="C662" s="22">
        <v>5</v>
      </c>
    </row>
    <row r="663" spans="1:3" x14ac:dyDescent="0.3">
      <c r="A663" s="7" t="s">
        <v>1224</v>
      </c>
      <c r="B663" s="8" t="s">
        <v>1225</v>
      </c>
      <c r="C663" s="22">
        <v>5</v>
      </c>
    </row>
    <row r="664" spans="1:3" x14ac:dyDescent="0.3">
      <c r="A664" s="7" t="s">
        <v>1226</v>
      </c>
      <c r="B664" s="8" t="s">
        <v>1227</v>
      </c>
      <c r="C664" s="22">
        <v>5</v>
      </c>
    </row>
    <row r="665" spans="1:3" x14ac:dyDescent="0.3">
      <c r="A665" s="7" t="s">
        <v>1228</v>
      </c>
      <c r="B665" s="8" t="s">
        <v>1229</v>
      </c>
      <c r="C665" s="22">
        <v>5</v>
      </c>
    </row>
    <row r="666" spans="1:3" x14ac:dyDescent="0.3">
      <c r="A666" s="7" t="s">
        <v>1230</v>
      </c>
      <c r="B666" s="8" t="s">
        <v>1231</v>
      </c>
      <c r="C666" s="22">
        <v>5</v>
      </c>
    </row>
    <row r="667" spans="1:3" x14ac:dyDescent="0.3">
      <c r="A667" s="7" t="s">
        <v>1232</v>
      </c>
      <c r="B667" s="8" t="s">
        <v>1233</v>
      </c>
      <c r="C667" s="22">
        <v>5</v>
      </c>
    </row>
    <row r="668" spans="1:3" x14ac:dyDescent="0.3">
      <c r="A668" s="7" t="s">
        <v>1234</v>
      </c>
      <c r="B668" s="8" t="s">
        <v>1225</v>
      </c>
      <c r="C668" s="22">
        <v>5</v>
      </c>
    </row>
    <row r="669" spans="1:3" x14ac:dyDescent="0.3">
      <c r="A669" s="7" t="s">
        <v>1235</v>
      </c>
      <c r="B669" s="8" t="s">
        <v>1236</v>
      </c>
      <c r="C669" s="22">
        <v>5</v>
      </c>
    </row>
    <row r="670" spans="1:3" x14ac:dyDescent="0.3">
      <c r="A670" s="7" t="s">
        <v>1237</v>
      </c>
      <c r="B670" s="8" t="s">
        <v>1238</v>
      </c>
      <c r="C670" s="22">
        <v>5</v>
      </c>
    </row>
    <row r="671" spans="1:3" x14ac:dyDescent="0.3">
      <c r="A671" s="7" t="s">
        <v>1239</v>
      </c>
      <c r="B671" s="8" t="s">
        <v>1240</v>
      </c>
      <c r="C671" s="22">
        <v>5</v>
      </c>
    </row>
    <row r="672" spans="1:3" x14ac:dyDescent="0.3">
      <c r="A672" s="7" t="s">
        <v>1241</v>
      </c>
      <c r="B672" s="8" t="s">
        <v>1242</v>
      </c>
      <c r="C672" s="22">
        <v>5</v>
      </c>
    </row>
    <row r="673" spans="1:3" x14ac:dyDescent="0.3">
      <c r="A673" s="7" t="s">
        <v>1243</v>
      </c>
      <c r="B673" s="8" t="s">
        <v>1244</v>
      </c>
      <c r="C673" s="22">
        <v>5</v>
      </c>
    </row>
    <row r="674" spans="1:3" x14ac:dyDescent="0.3">
      <c r="A674" s="7" t="s">
        <v>1245</v>
      </c>
      <c r="B674" s="8" t="s">
        <v>1246</v>
      </c>
      <c r="C674" s="22">
        <v>5</v>
      </c>
    </row>
    <row r="675" spans="1:3" x14ac:dyDescent="0.3">
      <c r="A675" s="7" t="s">
        <v>1247</v>
      </c>
      <c r="B675" s="8" t="s">
        <v>1227</v>
      </c>
      <c r="C675" s="22">
        <v>5</v>
      </c>
    </row>
    <row r="676" spans="1:3" x14ac:dyDescent="0.3">
      <c r="A676" s="7" t="s">
        <v>1248</v>
      </c>
      <c r="B676" s="8" t="s">
        <v>1249</v>
      </c>
      <c r="C676" s="22">
        <v>5</v>
      </c>
    </row>
    <row r="677" spans="1:3" x14ac:dyDescent="0.3">
      <c r="A677" s="7" t="s">
        <v>1250</v>
      </c>
      <c r="B677" s="8" t="s">
        <v>1251</v>
      </c>
      <c r="C677" s="22">
        <v>5</v>
      </c>
    </row>
    <row r="678" spans="1:3" x14ac:dyDescent="0.3">
      <c r="A678" s="7" t="s">
        <v>1252</v>
      </c>
      <c r="B678" s="8" t="s">
        <v>1253</v>
      </c>
      <c r="C678" s="22">
        <v>5</v>
      </c>
    </row>
    <row r="679" spans="1:3" x14ac:dyDescent="0.3">
      <c r="A679" s="7" t="s">
        <v>1254</v>
      </c>
      <c r="B679" s="8" t="s">
        <v>1255</v>
      </c>
      <c r="C679" s="22">
        <v>5</v>
      </c>
    </row>
    <row r="680" spans="1:3" x14ac:dyDescent="0.3">
      <c r="A680" s="7" t="s">
        <v>1256</v>
      </c>
      <c r="B680" s="8" t="s">
        <v>1229</v>
      </c>
      <c r="C680" s="22">
        <v>5</v>
      </c>
    </row>
    <row r="681" spans="1:3" x14ac:dyDescent="0.3">
      <c r="A681" s="7" t="s">
        <v>1257</v>
      </c>
      <c r="B681" s="8" t="s">
        <v>1258</v>
      </c>
      <c r="C681" s="22">
        <v>5</v>
      </c>
    </row>
    <row r="682" spans="1:3" x14ac:dyDescent="0.3">
      <c r="A682" s="7" t="s">
        <v>1259</v>
      </c>
      <c r="B682" s="8" t="s">
        <v>1260</v>
      </c>
      <c r="C682" s="22">
        <v>5</v>
      </c>
    </row>
    <row r="683" spans="1:3" x14ac:dyDescent="0.3">
      <c r="A683" s="7" t="s">
        <v>1261</v>
      </c>
      <c r="B683" s="8" t="s">
        <v>1262</v>
      </c>
      <c r="C683" s="22">
        <v>5</v>
      </c>
    </row>
    <row r="684" spans="1:3" x14ac:dyDescent="0.3">
      <c r="A684" s="7" t="s">
        <v>1263</v>
      </c>
      <c r="B684" s="8" t="s">
        <v>1264</v>
      </c>
      <c r="C684" s="22">
        <v>5</v>
      </c>
    </row>
    <row r="685" spans="1:3" x14ac:dyDescent="0.3">
      <c r="A685" s="7" t="s">
        <v>1265</v>
      </c>
      <c r="B685" s="8" t="s">
        <v>1264</v>
      </c>
      <c r="C685" s="22">
        <v>5</v>
      </c>
    </row>
    <row r="686" spans="1:3" x14ac:dyDescent="0.3">
      <c r="A686" s="7" t="s">
        <v>1266</v>
      </c>
      <c r="B686" s="8" t="s">
        <v>1249</v>
      </c>
      <c r="C686" s="22">
        <v>5</v>
      </c>
    </row>
    <row r="687" spans="1:3" x14ac:dyDescent="0.3">
      <c r="A687" s="7" t="s">
        <v>1267</v>
      </c>
      <c r="B687" s="8" t="s">
        <v>1268</v>
      </c>
      <c r="C687" s="22">
        <v>5</v>
      </c>
    </row>
    <row r="688" spans="1:3" x14ac:dyDescent="0.3">
      <c r="A688" s="7" t="s">
        <v>1269</v>
      </c>
      <c r="B688" s="8" t="s">
        <v>1270</v>
      </c>
      <c r="C688" s="22">
        <v>5</v>
      </c>
    </row>
    <row r="689" spans="1:3" x14ac:dyDescent="0.3">
      <c r="A689" s="7" t="s">
        <v>1271</v>
      </c>
      <c r="B689" s="8" t="s">
        <v>1255</v>
      </c>
      <c r="C689" s="22">
        <v>5</v>
      </c>
    </row>
    <row r="690" spans="1:3" x14ac:dyDescent="0.3">
      <c r="A690" s="7" t="s">
        <v>1272</v>
      </c>
      <c r="B690" s="8" t="s">
        <v>1273</v>
      </c>
      <c r="C690" s="22">
        <v>5</v>
      </c>
    </row>
    <row r="691" spans="1:3" x14ac:dyDescent="0.3">
      <c r="A691" s="7" t="s">
        <v>1274</v>
      </c>
      <c r="B691" s="8" t="s">
        <v>1275</v>
      </c>
      <c r="C691" s="22">
        <v>5</v>
      </c>
    </row>
    <row r="692" spans="1:3" x14ac:dyDescent="0.3">
      <c r="A692" s="7" t="s">
        <v>1276</v>
      </c>
      <c r="B692" s="8" t="s">
        <v>904</v>
      </c>
      <c r="C692" s="22">
        <v>5</v>
      </c>
    </row>
    <row r="693" spans="1:3" x14ac:dyDescent="0.3">
      <c r="A693" s="7" t="s">
        <v>1277</v>
      </c>
      <c r="B693" s="8" t="s">
        <v>906</v>
      </c>
      <c r="C693" s="22">
        <v>5</v>
      </c>
    </row>
    <row r="694" spans="1:3" x14ac:dyDescent="0.3">
      <c r="A694" s="7" t="s">
        <v>1278</v>
      </c>
      <c r="B694" s="8" t="s">
        <v>908</v>
      </c>
      <c r="C694" s="22">
        <v>5</v>
      </c>
    </row>
    <row r="695" spans="1:3" x14ac:dyDescent="0.3">
      <c r="A695" s="7" t="s">
        <v>1279</v>
      </c>
      <c r="B695" s="8" t="s">
        <v>910</v>
      </c>
      <c r="C695" s="22">
        <v>5</v>
      </c>
    </row>
    <row r="696" spans="1:3" x14ac:dyDescent="0.3">
      <c r="A696" s="7" t="s">
        <v>1280</v>
      </c>
      <c r="B696" s="8" t="s">
        <v>912</v>
      </c>
      <c r="C696" s="22">
        <v>5</v>
      </c>
    </row>
    <row r="697" spans="1:3" x14ac:dyDescent="0.3">
      <c r="A697" s="7" t="s">
        <v>1281</v>
      </c>
      <c r="B697" s="8" t="s">
        <v>914</v>
      </c>
      <c r="C697" s="22">
        <v>5</v>
      </c>
    </row>
    <row r="698" spans="1:3" x14ac:dyDescent="0.3">
      <c r="A698" s="7" t="s">
        <v>1282</v>
      </c>
      <c r="B698" s="8" t="s">
        <v>1283</v>
      </c>
      <c r="C698" s="22">
        <v>5</v>
      </c>
    </row>
    <row r="699" spans="1:3" x14ac:dyDescent="0.3">
      <c r="A699" s="7" t="s">
        <v>1284</v>
      </c>
      <c r="B699" s="8" t="s">
        <v>1285</v>
      </c>
      <c r="C699" s="22">
        <v>5</v>
      </c>
    </row>
    <row r="700" spans="1:3" x14ac:dyDescent="0.3">
      <c r="A700" s="7" t="s">
        <v>1286</v>
      </c>
      <c r="B700" s="8" t="s">
        <v>920</v>
      </c>
      <c r="C700" s="22">
        <v>5</v>
      </c>
    </row>
    <row r="701" spans="1:3" x14ac:dyDescent="0.3">
      <c r="A701" s="7" t="s">
        <v>1287</v>
      </c>
      <c r="B701" s="8" t="s">
        <v>922</v>
      </c>
      <c r="C701" s="22">
        <v>5</v>
      </c>
    </row>
    <row r="702" spans="1:3" x14ac:dyDescent="0.3">
      <c r="A702" s="7" t="s">
        <v>1288</v>
      </c>
      <c r="B702" s="8" t="s">
        <v>924</v>
      </c>
      <c r="C702" s="22">
        <v>5</v>
      </c>
    </row>
    <row r="703" spans="1:3" x14ac:dyDescent="0.3">
      <c r="A703" s="7" t="s">
        <v>1289</v>
      </c>
      <c r="B703" s="8" t="s">
        <v>1290</v>
      </c>
      <c r="C703" s="22">
        <v>5</v>
      </c>
    </row>
    <row r="704" spans="1:3" x14ac:dyDescent="0.3">
      <c r="A704" s="7" t="s">
        <v>1291</v>
      </c>
      <c r="B704" s="8" t="s">
        <v>926</v>
      </c>
      <c r="C704" s="22">
        <v>5</v>
      </c>
    </row>
    <row r="705" spans="1:3" x14ac:dyDescent="0.3">
      <c r="A705" s="7" t="s">
        <v>1292</v>
      </c>
      <c r="B705" s="8" t="s">
        <v>928</v>
      </c>
      <c r="C705" s="22">
        <v>5</v>
      </c>
    </row>
    <row r="706" spans="1:3" x14ac:dyDescent="0.3">
      <c r="A706" s="7" t="s">
        <v>1293</v>
      </c>
      <c r="B706" s="8" t="s">
        <v>930</v>
      </c>
      <c r="C706" s="22">
        <v>5</v>
      </c>
    </row>
    <row r="707" spans="1:3" x14ac:dyDescent="0.3">
      <c r="A707" s="7" t="s">
        <v>1294</v>
      </c>
      <c r="B707" s="8" t="s">
        <v>932</v>
      </c>
      <c r="C707" s="22">
        <v>5</v>
      </c>
    </row>
    <row r="708" spans="1:3" x14ac:dyDescent="0.3">
      <c r="A708" s="7" t="s">
        <v>1295</v>
      </c>
      <c r="B708" s="8" t="s">
        <v>1296</v>
      </c>
      <c r="C708" s="22">
        <v>5</v>
      </c>
    </row>
    <row r="709" spans="1:3" x14ac:dyDescent="0.3">
      <c r="A709" s="7" t="s">
        <v>1297</v>
      </c>
      <c r="B709" s="8" t="s">
        <v>1298</v>
      </c>
      <c r="C709" s="22">
        <v>5</v>
      </c>
    </row>
    <row r="710" spans="1:3" x14ac:dyDescent="0.3">
      <c r="A710" s="7" t="s">
        <v>1299</v>
      </c>
      <c r="B710" s="8" t="s">
        <v>1300</v>
      </c>
      <c r="C710" s="22">
        <v>5</v>
      </c>
    </row>
    <row r="711" spans="1:3" x14ac:dyDescent="0.3">
      <c r="A711" s="7" t="s">
        <v>1301</v>
      </c>
      <c r="B711" s="8" t="s">
        <v>1302</v>
      </c>
      <c r="C711" s="22">
        <v>5</v>
      </c>
    </row>
    <row r="712" spans="1:3" x14ac:dyDescent="0.3">
      <c r="A712" s="7" t="s">
        <v>1303</v>
      </c>
      <c r="B712" s="8" t="s">
        <v>1304</v>
      </c>
      <c r="C712" s="22">
        <v>5</v>
      </c>
    </row>
    <row r="713" spans="1:3" x14ac:dyDescent="0.3">
      <c r="A713" s="7" t="s">
        <v>1305</v>
      </c>
      <c r="B713" s="8" t="s">
        <v>1306</v>
      </c>
      <c r="C713" s="22">
        <v>5</v>
      </c>
    </row>
    <row r="714" spans="1:3" x14ac:dyDescent="0.3">
      <c r="A714" s="7" t="s">
        <v>1307</v>
      </c>
      <c r="B714" s="8" t="s">
        <v>936</v>
      </c>
      <c r="C714" s="22">
        <v>5</v>
      </c>
    </row>
    <row r="715" spans="1:3" x14ac:dyDescent="0.3">
      <c r="A715" s="7" t="s">
        <v>1308</v>
      </c>
      <c r="B715" s="8" t="s">
        <v>1309</v>
      </c>
      <c r="C715" s="22">
        <v>5</v>
      </c>
    </row>
    <row r="716" spans="1:3" x14ac:dyDescent="0.3">
      <c r="A716" s="7" t="s">
        <v>1310</v>
      </c>
      <c r="B716" s="8" t="s">
        <v>1311</v>
      </c>
      <c r="C716" s="22">
        <v>5</v>
      </c>
    </row>
    <row r="717" spans="1:3" x14ac:dyDescent="0.3">
      <c r="A717" s="7" t="s">
        <v>1312</v>
      </c>
      <c r="B717" s="8" t="s">
        <v>1313</v>
      </c>
      <c r="C717" s="22">
        <v>5</v>
      </c>
    </row>
    <row r="718" spans="1:3" x14ac:dyDescent="0.3">
      <c r="A718" s="7" t="s">
        <v>1314</v>
      </c>
      <c r="B718" s="8" t="s">
        <v>1315</v>
      </c>
      <c r="C718" s="22">
        <v>5</v>
      </c>
    </row>
    <row r="719" spans="1:3" x14ac:dyDescent="0.3">
      <c r="A719" s="7" t="s">
        <v>1316</v>
      </c>
      <c r="B719" s="8" t="s">
        <v>1296</v>
      </c>
      <c r="C719" s="22">
        <v>5</v>
      </c>
    </row>
    <row r="720" spans="1:3" x14ac:dyDescent="0.3">
      <c r="A720" s="7" t="s">
        <v>1317</v>
      </c>
      <c r="B720" s="8" t="s">
        <v>1318</v>
      </c>
      <c r="C720" s="22">
        <v>5</v>
      </c>
    </row>
    <row r="721" spans="1:3" x14ac:dyDescent="0.3">
      <c r="A721" s="7" t="s">
        <v>1319</v>
      </c>
      <c r="B721" s="8" t="s">
        <v>1302</v>
      </c>
      <c r="C721" s="22">
        <v>5</v>
      </c>
    </row>
    <row r="722" spans="1:3" x14ac:dyDescent="0.3">
      <c r="A722" s="7" t="s">
        <v>1320</v>
      </c>
      <c r="B722" s="8" t="s">
        <v>934</v>
      </c>
      <c r="C722" s="22">
        <v>5</v>
      </c>
    </row>
    <row r="723" spans="1:3" x14ac:dyDescent="0.3">
      <c r="A723" s="7" t="s">
        <v>1321</v>
      </c>
      <c r="B723" s="8" t="s">
        <v>1306</v>
      </c>
      <c r="C723" s="22">
        <v>5</v>
      </c>
    </row>
    <row r="724" spans="1:3" x14ac:dyDescent="0.3">
      <c r="A724" s="7" t="s">
        <v>1322</v>
      </c>
      <c r="B724" s="8" t="s">
        <v>936</v>
      </c>
      <c r="C724" s="22">
        <v>5</v>
      </c>
    </row>
    <row r="725" spans="1:3" x14ac:dyDescent="0.3">
      <c r="A725" s="7" t="s">
        <v>1323</v>
      </c>
      <c r="B725" s="8" t="s">
        <v>1309</v>
      </c>
      <c r="C725" s="22">
        <v>5</v>
      </c>
    </row>
    <row r="726" spans="1:3" x14ac:dyDescent="0.3">
      <c r="A726" s="7" t="s">
        <v>1324</v>
      </c>
      <c r="B726" s="8" t="s">
        <v>1311</v>
      </c>
      <c r="C726" s="22">
        <v>5</v>
      </c>
    </row>
    <row r="727" spans="1:3" x14ac:dyDescent="0.3">
      <c r="A727" s="7" t="s">
        <v>1325</v>
      </c>
      <c r="B727" s="8" t="s">
        <v>1313</v>
      </c>
      <c r="C727" s="22">
        <v>5</v>
      </c>
    </row>
    <row r="728" spans="1:3" x14ac:dyDescent="0.3">
      <c r="A728" s="7" t="s">
        <v>1326</v>
      </c>
      <c r="B728" s="8" t="s">
        <v>1315</v>
      </c>
      <c r="C728" s="22">
        <v>5</v>
      </c>
    </row>
    <row r="729" spans="1:3" x14ac:dyDescent="0.3">
      <c r="A729" s="7" t="s">
        <v>1327</v>
      </c>
      <c r="B729" s="8" t="s">
        <v>1328</v>
      </c>
      <c r="C729" s="22">
        <v>5</v>
      </c>
    </row>
    <row r="730" spans="1:3" x14ac:dyDescent="0.3">
      <c r="A730" s="7" t="s">
        <v>1329</v>
      </c>
      <c r="B730" s="8" t="s">
        <v>945</v>
      </c>
      <c r="C730" s="22">
        <v>5</v>
      </c>
    </row>
    <row r="731" spans="1:3" x14ac:dyDescent="0.3">
      <c r="A731" s="7" t="s">
        <v>1330</v>
      </c>
      <c r="B731" s="8" t="s">
        <v>1331</v>
      </c>
      <c r="C731" s="22">
        <v>5</v>
      </c>
    </row>
    <row r="732" spans="1:3" x14ac:dyDescent="0.3">
      <c r="A732" s="7" t="s">
        <v>1332</v>
      </c>
      <c r="B732" s="8" t="s">
        <v>934</v>
      </c>
      <c r="C732" s="22">
        <v>5</v>
      </c>
    </row>
    <row r="733" spans="1:3" x14ac:dyDescent="0.3">
      <c r="A733" s="7" t="s">
        <v>1333</v>
      </c>
      <c r="B733" s="8" t="s">
        <v>1334</v>
      </c>
      <c r="C733" s="22">
        <v>5</v>
      </c>
    </row>
    <row r="734" spans="1:3" x14ac:dyDescent="0.3">
      <c r="A734" s="7" t="s">
        <v>1335</v>
      </c>
      <c r="B734" s="8" t="s">
        <v>1336</v>
      </c>
      <c r="C734" s="22">
        <v>5</v>
      </c>
    </row>
    <row r="735" spans="1:3" x14ac:dyDescent="0.3">
      <c r="A735" s="7" t="s">
        <v>1337</v>
      </c>
      <c r="B735" s="8" t="s">
        <v>1309</v>
      </c>
      <c r="C735" s="22">
        <v>5</v>
      </c>
    </row>
    <row r="736" spans="1:3" x14ac:dyDescent="0.3">
      <c r="A736" s="7" t="s">
        <v>1338</v>
      </c>
      <c r="B736" s="8" t="s">
        <v>1339</v>
      </c>
      <c r="C736" s="22">
        <v>5</v>
      </c>
    </row>
    <row r="737" spans="1:3" x14ac:dyDescent="0.3">
      <c r="A737" s="7" t="s">
        <v>1340</v>
      </c>
      <c r="B737" s="8" t="s">
        <v>1331</v>
      </c>
      <c r="C737" s="22">
        <v>5</v>
      </c>
    </row>
    <row r="738" spans="1:3" x14ac:dyDescent="0.3">
      <c r="A738" s="7" t="s">
        <v>1341</v>
      </c>
      <c r="B738" s="8" t="s">
        <v>934</v>
      </c>
      <c r="C738" s="22">
        <v>5</v>
      </c>
    </row>
    <row r="739" spans="1:3" x14ac:dyDescent="0.3">
      <c r="A739" s="7" t="s">
        <v>1342</v>
      </c>
      <c r="B739" s="8" t="s">
        <v>1343</v>
      </c>
      <c r="C739" s="22">
        <v>5</v>
      </c>
    </row>
    <row r="740" spans="1:3" x14ac:dyDescent="0.3">
      <c r="A740" s="7" t="s">
        <v>1344</v>
      </c>
      <c r="B740" s="8" t="s">
        <v>1336</v>
      </c>
      <c r="C740" s="22">
        <v>5</v>
      </c>
    </row>
    <row r="741" spans="1:3" x14ac:dyDescent="0.3">
      <c r="A741" s="7" t="s">
        <v>1345</v>
      </c>
      <c r="B741" s="8" t="s">
        <v>1309</v>
      </c>
      <c r="C741" s="22">
        <v>5</v>
      </c>
    </row>
    <row r="742" spans="1:3" x14ac:dyDescent="0.3">
      <c r="A742" s="7" t="s">
        <v>1346</v>
      </c>
      <c r="B742" s="8" t="s">
        <v>1339</v>
      </c>
      <c r="C742" s="22">
        <v>5</v>
      </c>
    </row>
    <row r="743" spans="1:3" x14ac:dyDescent="0.3">
      <c r="A743" s="7" t="s">
        <v>1347</v>
      </c>
      <c r="B743" s="10" t="s">
        <v>1348</v>
      </c>
      <c r="C743" s="22">
        <v>6</v>
      </c>
    </row>
    <row r="744" spans="1:3" x14ac:dyDescent="0.3">
      <c r="A744" s="7" t="s">
        <v>1349</v>
      </c>
      <c r="B744" s="8" t="s">
        <v>1350</v>
      </c>
      <c r="C744" s="22">
        <v>6</v>
      </c>
    </row>
    <row r="745" spans="1:3" x14ac:dyDescent="0.3">
      <c r="A745" s="7" t="s">
        <v>1351</v>
      </c>
      <c r="B745" s="8" t="s">
        <v>1352</v>
      </c>
      <c r="C745" s="22">
        <v>6</v>
      </c>
    </row>
    <row r="746" spans="1:3" x14ac:dyDescent="0.3">
      <c r="A746" s="7" t="s">
        <v>1353</v>
      </c>
      <c r="B746" s="8" t="s">
        <v>1354</v>
      </c>
      <c r="C746" s="22">
        <v>6</v>
      </c>
    </row>
    <row r="747" spans="1:3" x14ac:dyDescent="0.3">
      <c r="A747" s="7" t="s">
        <v>1355</v>
      </c>
      <c r="B747" s="8" t="s">
        <v>1356</v>
      </c>
      <c r="C747" s="22">
        <v>6</v>
      </c>
    </row>
    <row r="748" spans="1:3" x14ac:dyDescent="0.3">
      <c r="A748" s="7" t="s">
        <v>1357</v>
      </c>
      <c r="B748" s="8" t="s">
        <v>1358</v>
      </c>
      <c r="C748" s="22">
        <v>8</v>
      </c>
    </row>
    <row r="749" spans="1:3" x14ac:dyDescent="0.3">
      <c r="A749" s="7" t="s">
        <v>1359</v>
      </c>
      <c r="B749" s="8" t="s">
        <v>1360</v>
      </c>
      <c r="C749" s="22">
        <v>8</v>
      </c>
    </row>
    <row r="750" spans="1:3" x14ac:dyDescent="0.3">
      <c r="A750" s="7" t="s">
        <v>1361</v>
      </c>
      <c r="B750" s="8" t="s">
        <v>1362</v>
      </c>
      <c r="C750" s="22">
        <v>8</v>
      </c>
    </row>
    <row r="751" spans="1:3" x14ac:dyDescent="0.3">
      <c r="A751" s="7" t="s">
        <v>1363</v>
      </c>
      <c r="B751" s="10" t="s">
        <v>1364</v>
      </c>
      <c r="C751" s="22">
        <v>8</v>
      </c>
    </row>
    <row r="752" spans="1:3" x14ac:dyDescent="0.3">
      <c r="A752" s="7" t="s">
        <v>1365</v>
      </c>
      <c r="B752" s="8" t="s">
        <v>1366</v>
      </c>
      <c r="C752" s="22">
        <v>8</v>
      </c>
    </row>
    <row r="753" spans="1:3" x14ac:dyDescent="0.3">
      <c r="A753" s="7" t="s">
        <v>1367</v>
      </c>
      <c r="B753" s="8" t="s">
        <v>1368</v>
      </c>
      <c r="C753" s="22">
        <v>8</v>
      </c>
    </row>
    <row r="754" spans="1:3" x14ac:dyDescent="0.3">
      <c r="A754" s="7" t="s">
        <v>1369</v>
      </c>
      <c r="B754" s="8" t="s">
        <v>1370</v>
      </c>
      <c r="C754" s="22">
        <v>8</v>
      </c>
    </row>
    <row r="755" spans="1:3" x14ac:dyDescent="0.3">
      <c r="A755" s="7" t="s">
        <v>1371</v>
      </c>
      <c r="B755" s="8" t="s">
        <v>1372</v>
      </c>
      <c r="C755" s="22">
        <v>8</v>
      </c>
    </row>
    <row r="756" spans="1:3" x14ac:dyDescent="0.3">
      <c r="A756" s="7" t="s">
        <v>1373</v>
      </c>
      <c r="B756" s="8" t="s">
        <v>1374</v>
      </c>
      <c r="C756" s="22">
        <v>8</v>
      </c>
    </row>
    <row r="757" spans="1:3" x14ac:dyDescent="0.3">
      <c r="A757" s="7" t="s">
        <v>1375</v>
      </c>
      <c r="B757" s="8" t="s">
        <v>1376</v>
      </c>
      <c r="C757" s="22">
        <v>8</v>
      </c>
    </row>
    <row r="758" spans="1:3" x14ac:dyDescent="0.3">
      <c r="A758" s="7" t="s">
        <v>1377</v>
      </c>
      <c r="B758" s="8" t="s">
        <v>1378</v>
      </c>
      <c r="C758" s="22">
        <v>8</v>
      </c>
    </row>
    <row r="759" spans="1:3" x14ac:dyDescent="0.3">
      <c r="A759" s="7" t="s">
        <v>1379</v>
      </c>
      <c r="B759" s="8" t="s">
        <v>1380</v>
      </c>
      <c r="C759" s="22">
        <v>8</v>
      </c>
    </row>
    <row r="760" spans="1:3" x14ac:dyDescent="0.3">
      <c r="A760" s="7" t="s">
        <v>1381</v>
      </c>
      <c r="B760" s="8" t="s">
        <v>1382</v>
      </c>
      <c r="C760" s="22">
        <v>8</v>
      </c>
    </row>
    <row r="761" spans="1:3" x14ac:dyDescent="0.3">
      <c r="A761" s="7" t="s">
        <v>1383</v>
      </c>
      <c r="B761" s="8" t="s">
        <v>1384</v>
      </c>
      <c r="C761" s="22">
        <v>8</v>
      </c>
    </row>
    <row r="762" spans="1:3" x14ac:dyDescent="0.3">
      <c r="A762" s="7" t="s">
        <v>1385</v>
      </c>
      <c r="B762" s="8" t="s">
        <v>1043</v>
      </c>
      <c r="C762" s="22">
        <v>8</v>
      </c>
    </row>
    <row r="763" spans="1:3" x14ac:dyDescent="0.3">
      <c r="A763" s="7" t="s">
        <v>1386</v>
      </c>
      <c r="B763" s="8" t="s">
        <v>1387</v>
      </c>
      <c r="C763" s="22">
        <v>8</v>
      </c>
    </row>
    <row r="764" spans="1:3" x14ac:dyDescent="0.3">
      <c r="A764" s="7" t="s">
        <v>1388</v>
      </c>
      <c r="B764" s="8" t="s">
        <v>1389</v>
      </c>
      <c r="C764" s="22">
        <v>8</v>
      </c>
    </row>
    <row r="765" spans="1:3" x14ac:dyDescent="0.3">
      <c r="A765" s="7" t="s">
        <v>1390</v>
      </c>
      <c r="B765" s="8" t="s">
        <v>1391</v>
      </c>
      <c r="C765" s="22">
        <v>8</v>
      </c>
    </row>
    <row r="766" spans="1:3" x14ac:dyDescent="0.3">
      <c r="A766" s="7" t="s">
        <v>1392</v>
      </c>
      <c r="B766" s="8" t="s">
        <v>1393</v>
      </c>
      <c r="C766" s="22">
        <v>8</v>
      </c>
    </row>
    <row r="767" spans="1:3" x14ac:dyDescent="0.3">
      <c r="A767" s="7" t="s">
        <v>1394</v>
      </c>
      <c r="B767" s="8" t="s">
        <v>1395</v>
      </c>
      <c r="C767" s="22">
        <v>8</v>
      </c>
    </row>
    <row r="768" spans="1:3" x14ac:dyDescent="0.3">
      <c r="A768" s="7" t="s">
        <v>1396</v>
      </c>
      <c r="B768" s="8" t="s">
        <v>1397</v>
      </c>
      <c r="C768" s="22">
        <v>8</v>
      </c>
    </row>
    <row r="769" spans="1:3" x14ac:dyDescent="0.3">
      <c r="A769" s="7" t="s">
        <v>1398</v>
      </c>
      <c r="B769" s="8" t="s">
        <v>1399</v>
      </c>
      <c r="C769" s="22">
        <v>8</v>
      </c>
    </row>
    <row r="770" spans="1:3" x14ac:dyDescent="0.3">
      <c r="A770" s="7" t="s">
        <v>1400</v>
      </c>
      <c r="B770" s="8" t="s">
        <v>1401</v>
      </c>
      <c r="C770" s="22">
        <v>8</v>
      </c>
    </row>
    <row r="771" spans="1:3" x14ac:dyDescent="0.3">
      <c r="A771" s="7" t="s">
        <v>1402</v>
      </c>
      <c r="B771" s="8" t="s">
        <v>1403</v>
      </c>
      <c r="C771" s="22">
        <v>8</v>
      </c>
    </row>
    <row r="772" spans="1:3" x14ac:dyDescent="0.3">
      <c r="A772" s="7" t="s">
        <v>1404</v>
      </c>
      <c r="B772" s="8" t="s">
        <v>1405</v>
      </c>
      <c r="C772" s="22">
        <v>8</v>
      </c>
    </row>
    <row r="773" spans="1:3" x14ac:dyDescent="0.3">
      <c r="A773" s="7" t="s">
        <v>1406</v>
      </c>
      <c r="B773" s="8" t="s">
        <v>1407</v>
      </c>
      <c r="C773" s="22">
        <v>8</v>
      </c>
    </row>
    <row r="774" spans="1:3" x14ac:dyDescent="0.3">
      <c r="A774" s="7" t="s">
        <v>1408</v>
      </c>
      <c r="B774" s="8" t="s">
        <v>1409</v>
      </c>
      <c r="C774" s="22">
        <v>8</v>
      </c>
    </row>
    <row r="775" spans="1:3" x14ac:dyDescent="0.3">
      <c r="A775" s="7" t="s">
        <v>1410</v>
      </c>
      <c r="B775" s="8" t="s">
        <v>1411</v>
      </c>
      <c r="C775" s="22">
        <v>8</v>
      </c>
    </row>
    <row r="776" spans="1:3" x14ac:dyDescent="0.3">
      <c r="A776" s="7" t="s">
        <v>1412</v>
      </c>
      <c r="B776" s="8" t="s">
        <v>1413</v>
      </c>
      <c r="C776" s="22">
        <v>8</v>
      </c>
    </row>
    <row r="777" spans="1:3" x14ac:dyDescent="0.3">
      <c r="A777" s="7" t="s">
        <v>1414</v>
      </c>
      <c r="B777" s="8" t="s">
        <v>1415</v>
      </c>
      <c r="C777" s="22">
        <v>8</v>
      </c>
    </row>
    <row r="778" spans="1:3" x14ac:dyDescent="0.3">
      <c r="A778" s="7" t="s">
        <v>1416</v>
      </c>
      <c r="B778" s="8" t="s">
        <v>1417</v>
      </c>
      <c r="C778" s="22">
        <v>8</v>
      </c>
    </row>
    <row r="779" spans="1:3" x14ac:dyDescent="0.3">
      <c r="A779" s="7" t="s">
        <v>1418</v>
      </c>
      <c r="B779" s="8" t="s">
        <v>1419</v>
      </c>
      <c r="C779" s="22">
        <v>8</v>
      </c>
    </row>
    <row r="780" spans="1:3" x14ac:dyDescent="0.3">
      <c r="A780" s="7" t="s">
        <v>1420</v>
      </c>
      <c r="B780" s="8" t="s">
        <v>1421</v>
      </c>
      <c r="C780" s="22">
        <v>8</v>
      </c>
    </row>
    <row r="781" spans="1:3" x14ac:dyDescent="0.3">
      <c r="A781" s="7" t="s">
        <v>1422</v>
      </c>
      <c r="B781" s="8" t="s">
        <v>1423</v>
      </c>
      <c r="C781" s="22">
        <v>8</v>
      </c>
    </row>
    <row r="782" spans="1:3" x14ac:dyDescent="0.3">
      <c r="A782" s="7" t="s">
        <v>1424</v>
      </c>
      <c r="B782" s="8" t="s">
        <v>1425</v>
      </c>
      <c r="C782" s="22">
        <v>8</v>
      </c>
    </row>
    <row r="783" spans="1:3" ht="26.4" x14ac:dyDescent="0.3">
      <c r="A783" s="7" t="s">
        <v>1426</v>
      </c>
      <c r="B783" s="8" t="s">
        <v>1427</v>
      </c>
      <c r="C783" s="22">
        <v>8</v>
      </c>
    </row>
    <row r="784" spans="1:3" x14ac:dyDescent="0.3">
      <c r="A784" s="7" t="s">
        <v>1428</v>
      </c>
      <c r="B784" s="8" t="s">
        <v>1429</v>
      </c>
      <c r="C784" s="22">
        <v>8</v>
      </c>
    </row>
    <row r="785" spans="1:3" x14ac:dyDescent="0.3">
      <c r="A785" s="7" t="s">
        <v>1430</v>
      </c>
      <c r="B785" s="9" t="s">
        <v>1431</v>
      </c>
      <c r="C785" s="22">
        <v>8</v>
      </c>
    </row>
    <row r="786" spans="1:3" ht="26.4" x14ac:dyDescent="0.3">
      <c r="A786" s="7" t="s">
        <v>1432</v>
      </c>
      <c r="B786" s="9" t="s">
        <v>1433</v>
      </c>
      <c r="C786" s="22">
        <v>8</v>
      </c>
    </row>
    <row r="787" spans="1:3" x14ac:dyDescent="0.3">
      <c r="A787" s="7" t="s">
        <v>1434</v>
      </c>
      <c r="B787" s="9" t="s">
        <v>1435</v>
      </c>
      <c r="C787" s="22">
        <v>8</v>
      </c>
    </row>
    <row r="788" spans="1:3" x14ac:dyDescent="0.3">
      <c r="A788" s="7" t="s">
        <v>1436</v>
      </c>
      <c r="B788" s="8" t="s">
        <v>1437</v>
      </c>
      <c r="C788" s="22">
        <v>8</v>
      </c>
    </row>
    <row r="789" spans="1:3" x14ac:dyDescent="0.3">
      <c r="A789" s="7" t="s">
        <v>1438</v>
      </c>
      <c r="B789" s="8" t="s">
        <v>1439</v>
      </c>
      <c r="C789" s="22">
        <v>8</v>
      </c>
    </row>
    <row r="790" spans="1:3" x14ac:dyDescent="0.3">
      <c r="A790" s="7" t="s">
        <v>1440</v>
      </c>
      <c r="B790" s="8" t="s">
        <v>1441</v>
      </c>
      <c r="C790" s="22">
        <v>8</v>
      </c>
    </row>
    <row r="791" spans="1:3" x14ac:dyDescent="0.3">
      <c r="A791" s="7" t="s">
        <v>1442</v>
      </c>
      <c r="B791" s="8" t="s">
        <v>1443</v>
      </c>
      <c r="C791" s="22">
        <v>8</v>
      </c>
    </row>
    <row r="792" spans="1:3" x14ac:dyDescent="0.3">
      <c r="A792" s="7" t="s">
        <v>1444</v>
      </c>
      <c r="B792" s="8" t="s">
        <v>1445</v>
      </c>
      <c r="C792" s="22">
        <v>8</v>
      </c>
    </row>
    <row r="793" spans="1:3" x14ac:dyDescent="0.3">
      <c r="A793" s="7" t="s">
        <v>1446</v>
      </c>
      <c r="B793" s="8" t="s">
        <v>1447</v>
      </c>
      <c r="C793" s="22">
        <v>8</v>
      </c>
    </row>
    <row r="794" spans="1:3" x14ac:dyDescent="0.3">
      <c r="A794" s="7" t="s">
        <v>1448</v>
      </c>
      <c r="B794" s="8" t="s">
        <v>1449</v>
      </c>
      <c r="C794" s="22">
        <v>8</v>
      </c>
    </row>
    <row r="795" spans="1:3" x14ac:dyDescent="0.3">
      <c r="A795" s="7" t="s">
        <v>1450</v>
      </c>
      <c r="B795" s="8" t="s">
        <v>1451</v>
      </c>
      <c r="C795" s="22">
        <v>8</v>
      </c>
    </row>
    <row r="796" spans="1:3" x14ac:dyDescent="0.3">
      <c r="A796" s="7" t="s">
        <v>1452</v>
      </c>
      <c r="B796" s="8" t="s">
        <v>1453</v>
      </c>
      <c r="C796" s="22">
        <v>8</v>
      </c>
    </row>
    <row r="797" spans="1:3" x14ac:dyDescent="0.3">
      <c r="A797" s="7" t="s">
        <v>1454</v>
      </c>
      <c r="B797" s="8" t="s">
        <v>1455</v>
      </c>
      <c r="C797" s="22">
        <v>8</v>
      </c>
    </row>
    <row r="798" spans="1:3" x14ac:dyDescent="0.3">
      <c r="A798" s="7" t="s">
        <v>1456</v>
      </c>
      <c r="B798" s="8" t="s">
        <v>1457</v>
      </c>
      <c r="C798" s="22">
        <v>8</v>
      </c>
    </row>
    <row r="799" spans="1:3" x14ac:dyDescent="0.3">
      <c r="A799" s="7" t="s">
        <v>1458</v>
      </c>
      <c r="B799" s="8" t="s">
        <v>1459</v>
      </c>
      <c r="C799" s="22">
        <v>8</v>
      </c>
    </row>
    <row r="800" spans="1:3" x14ac:dyDescent="0.3">
      <c r="A800" s="7" t="s">
        <v>1460</v>
      </c>
      <c r="B800" s="8" t="s">
        <v>1461</v>
      </c>
      <c r="C800" s="22">
        <v>8</v>
      </c>
    </row>
    <row r="801" spans="1:3" x14ac:dyDescent="0.3">
      <c r="A801" s="7" t="s">
        <v>8</v>
      </c>
      <c r="B801" s="8" t="s">
        <v>1462</v>
      </c>
      <c r="C801" s="22">
        <v>8</v>
      </c>
    </row>
    <row r="802" spans="1:3" x14ac:dyDescent="0.3">
      <c r="A802" s="7" t="s">
        <v>1463</v>
      </c>
      <c r="B802" s="8" t="s">
        <v>1464</v>
      </c>
      <c r="C802" s="22">
        <v>8</v>
      </c>
    </row>
    <row r="803" spans="1:3" x14ac:dyDescent="0.3">
      <c r="A803" s="7" t="s">
        <v>1465</v>
      </c>
      <c r="B803" s="8" t="s">
        <v>1466</v>
      </c>
      <c r="C803" s="22">
        <v>9</v>
      </c>
    </row>
    <row r="804" spans="1:3" x14ac:dyDescent="0.3">
      <c r="A804" s="7" t="s">
        <v>1467</v>
      </c>
      <c r="B804" s="8" t="s">
        <v>1468</v>
      </c>
      <c r="C804" s="22">
        <v>9</v>
      </c>
    </row>
    <row r="805" spans="1:3" x14ac:dyDescent="0.3">
      <c r="A805" s="7" t="s">
        <v>1469</v>
      </c>
      <c r="B805" s="8" t="s">
        <v>1470</v>
      </c>
      <c r="C805" s="22">
        <v>9</v>
      </c>
    </row>
    <row r="806" spans="1:3" x14ac:dyDescent="0.3">
      <c r="A806" s="7" t="s">
        <v>1471</v>
      </c>
      <c r="B806" s="8" t="s">
        <v>1472</v>
      </c>
      <c r="C806" s="22">
        <v>9</v>
      </c>
    </row>
    <row r="807" spans="1:3" x14ac:dyDescent="0.3">
      <c r="A807" s="7" t="s">
        <v>1473</v>
      </c>
      <c r="B807" s="8" t="s">
        <v>1474</v>
      </c>
      <c r="C807" s="22">
        <v>12</v>
      </c>
    </row>
    <row r="808" spans="1:3" x14ac:dyDescent="0.3">
      <c r="A808" s="7" t="s">
        <v>1475</v>
      </c>
      <c r="B808" s="8" t="s">
        <v>1476</v>
      </c>
      <c r="C808" s="22">
        <v>12</v>
      </c>
    </row>
    <row r="809" spans="1:3" x14ac:dyDescent="0.3">
      <c r="A809" s="7" t="s">
        <v>1477</v>
      </c>
      <c r="B809" s="8" t="s">
        <v>1478</v>
      </c>
      <c r="C809" s="22">
        <v>12</v>
      </c>
    </row>
    <row r="810" spans="1:3" x14ac:dyDescent="0.3">
      <c r="A810" s="7" t="s">
        <v>1479</v>
      </c>
      <c r="B810" s="8" t="s">
        <v>1480</v>
      </c>
      <c r="C810" s="22">
        <v>12</v>
      </c>
    </row>
    <row r="811" spans="1:3" x14ac:dyDescent="0.3">
      <c r="A811" s="7" t="s">
        <v>1481</v>
      </c>
      <c r="B811" s="8" t="s">
        <v>1476</v>
      </c>
      <c r="C811" s="22">
        <v>12</v>
      </c>
    </row>
    <row r="812" spans="1:3" x14ac:dyDescent="0.3">
      <c r="A812" s="7" t="s">
        <v>1482</v>
      </c>
      <c r="B812" s="8" t="s">
        <v>1483</v>
      </c>
      <c r="C812" s="22">
        <v>12</v>
      </c>
    </row>
    <row r="813" spans="1:3" x14ac:dyDescent="0.3">
      <c r="A813" s="7" t="s">
        <v>1484</v>
      </c>
      <c r="B813" s="8" t="s">
        <v>1476</v>
      </c>
      <c r="C813" s="22">
        <v>12</v>
      </c>
    </row>
    <row r="814" spans="1:3" x14ac:dyDescent="0.3">
      <c r="A814" s="7" t="s">
        <v>1485</v>
      </c>
      <c r="B814" s="8" t="s">
        <v>1486</v>
      </c>
      <c r="C814" s="22">
        <v>7</v>
      </c>
    </row>
    <row r="815" spans="1:3" x14ac:dyDescent="0.3">
      <c r="A815" s="7" t="s">
        <v>1487</v>
      </c>
      <c r="B815" s="8" t="s">
        <v>1488</v>
      </c>
      <c r="C815" s="22">
        <v>7</v>
      </c>
    </row>
    <row r="816" spans="1:3" x14ac:dyDescent="0.3">
      <c r="A816" s="7" t="s">
        <v>1489</v>
      </c>
      <c r="B816" s="8" t="s">
        <v>1490</v>
      </c>
      <c r="C816" s="22">
        <v>7</v>
      </c>
    </row>
    <row r="817" spans="1:3" x14ac:dyDescent="0.3">
      <c r="A817" s="7" t="s">
        <v>1491</v>
      </c>
      <c r="B817" s="8" t="s">
        <v>1492</v>
      </c>
      <c r="C817" s="22">
        <v>7</v>
      </c>
    </row>
    <row r="818" spans="1:3" x14ac:dyDescent="0.3">
      <c r="A818" s="7" t="s">
        <v>1493</v>
      </c>
      <c r="B818" s="8" t="s">
        <v>1494</v>
      </c>
      <c r="C818" s="22">
        <v>7</v>
      </c>
    </row>
    <row r="819" spans="1:3" x14ac:dyDescent="0.3">
      <c r="A819" s="7" t="s">
        <v>1495</v>
      </c>
      <c r="B819" s="8" t="s">
        <v>1496</v>
      </c>
      <c r="C819" s="22">
        <v>7</v>
      </c>
    </row>
    <row r="820" spans="1:3" x14ac:dyDescent="0.3">
      <c r="A820" s="7" t="s">
        <v>1497</v>
      </c>
      <c r="B820" s="8" t="s">
        <v>1113</v>
      </c>
      <c r="C820" s="22">
        <v>7</v>
      </c>
    </row>
    <row r="821" spans="1:3" x14ac:dyDescent="0.3">
      <c r="A821" s="7" t="s">
        <v>1498</v>
      </c>
      <c r="B821" s="8" t="s">
        <v>1117</v>
      </c>
      <c r="C821" s="22">
        <v>7</v>
      </c>
    </row>
    <row r="822" spans="1:3" x14ac:dyDescent="0.3">
      <c r="A822" s="7" t="s">
        <v>1499</v>
      </c>
      <c r="B822" s="8" t="s">
        <v>1500</v>
      </c>
      <c r="C822" s="22">
        <v>7</v>
      </c>
    </row>
    <row r="823" spans="1:3" x14ac:dyDescent="0.3">
      <c r="A823" s="7" t="s">
        <v>1501</v>
      </c>
      <c r="B823" s="8" t="s">
        <v>1502</v>
      </c>
      <c r="C823" s="22">
        <v>7</v>
      </c>
    </row>
    <row r="824" spans="1:3" x14ac:dyDescent="0.3">
      <c r="A824" s="7" t="s">
        <v>1503</v>
      </c>
      <c r="B824" s="8" t="s">
        <v>1504</v>
      </c>
      <c r="C824" s="22">
        <v>7</v>
      </c>
    </row>
    <row r="825" spans="1:3" x14ac:dyDescent="0.3">
      <c r="A825" s="7" t="s">
        <v>1505</v>
      </c>
      <c r="B825" s="8" t="s">
        <v>1506</v>
      </c>
      <c r="C825" s="22">
        <v>7</v>
      </c>
    </row>
    <row r="826" spans="1:3" x14ac:dyDescent="0.3">
      <c r="A826" s="7" t="s">
        <v>1507</v>
      </c>
      <c r="B826" s="8" t="s">
        <v>1508</v>
      </c>
      <c r="C826" s="22">
        <v>7</v>
      </c>
    </row>
    <row r="827" spans="1:3" x14ac:dyDescent="0.3">
      <c r="A827" s="7" t="s">
        <v>1509</v>
      </c>
      <c r="B827" s="8" t="s">
        <v>1113</v>
      </c>
      <c r="C827" s="22">
        <v>7</v>
      </c>
    </row>
    <row r="828" spans="1:3" x14ac:dyDescent="0.3">
      <c r="A828" s="7" t="s">
        <v>1510</v>
      </c>
      <c r="B828" s="8" t="s">
        <v>1511</v>
      </c>
      <c r="C828" s="22">
        <v>7</v>
      </c>
    </row>
    <row r="829" spans="1:3" x14ac:dyDescent="0.3">
      <c r="A829" s="7" t="s">
        <v>1512</v>
      </c>
      <c r="B829" s="8" t="s">
        <v>1513</v>
      </c>
      <c r="C829" s="22">
        <v>7</v>
      </c>
    </row>
    <row r="830" spans="1:3" x14ac:dyDescent="0.3">
      <c r="A830" s="7" t="s">
        <v>1514</v>
      </c>
      <c r="B830" s="8" t="s">
        <v>1515</v>
      </c>
      <c r="C830" s="22">
        <v>7</v>
      </c>
    </row>
    <row r="831" spans="1:3" x14ac:dyDescent="0.3">
      <c r="A831" s="7" t="s">
        <v>1516</v>
      </c>
      <c r="B831" s="8" t="s">
        <v>1517</v>
      </c>
      <c r="C831" s="22">
        <v>7</v>
      </c>
    </row>
    <row r="832" spans="1:3" x14ac:dyDescent="0.3">
      <c r="A832" s="7" t="s">
        <v>1518</v>
      </c>
      <c r="B832" s="8" t="s">
        <v>1515</v>
      </c>
      <c r="C832" s="22">
        <v>7</v>
      </c>
    </row>
    <row r="833" spans="1:3" x14ac:dyDescent="0.3">
      <c r="A833" s="7" t="s">
        <v>1519</v>
      </c>
      <c r="B833" s="8" t="s">
        <v>1517</v>
      </c>
      <c r="C833" s="22">
        <v>7</v>
      </c>
    </row>
    <row r="834" spans="1:3" x14ac:dyDescent="0.3">
      <c r="A834" s="7" t="s">
        <v>1520</v>
      </c>
      <c r="B834" s="8" t="s">
        <v>1521</v>
      </c>
      <c r="C834" s="22">
        <v>7</v>
      </c>
    </row>
    <row r="835" spans="1:3" x14ac:dyDescent="0.3">
      <c r="A835" s="7" t="s">
        <v>1522</v>
      </c>
      <c r="B835" s="8" t="s">
        <v>1523</v>
      </c>
      <c r="C835" s="22">
        <v>7</v>
      </c>
    </row>
    <row r="836" spans="1:3" x14ac:dyDescent="0.3">
      <c r="A836" s="7" t="s">
        <v>1524</v>
      </c>
      <c r="B836" s="10" t="s">
        <v>1525</v>
      </c>
      <c r="C836" s="22">
        <v>7</v>
      </c>
    </row>
    <row r="837" spans="1:3" x14ac:dyDescent="0.3">
      <c r="A837" s="7" t="s">
        <v>1526</v>
      </c>
      <c r="B837" s="8" t="s">
        <v>1527</v>
      </c>
      <c r="C837" s="22">
        <v>7</v>
      </c>
    </row>
    <row r="838" spans="1:3" x14ac:dyDescent="0.3">
      <c r="A838" s="7" t="s">
        <v>1528</v>
      </c>
      <c r="B838" s="8" t="s">
        <v>1529</v>
      </c>
      <c r="C838" s="22">
        <v>7</v>
      </c>
    </row>
    <row r="839" spans="1:3" x14ac:dyDescent="0.3">
      <c r="A839" s="7" t="s">
        <v>1530</v>
      </c>
      <c r="B839" s="8" t="s">
        <v>1531</v>
      </c>
      <c r="C839" s="22">
        <v>7</v>
      </c>
    </row>
    <row r="840" spans="1:3" x14ac:dyDescent="0.3">
      <c r="A840" s="7" t="s">
        <v>1532</v>
      </c>
      <c r="B840" s="8" t="s">
        <v>1533</v>
      </c>
      <c r="C840" s="22">
        <v>7</v>
      </c>
    </row>
    <row r="841" spans="1:3" x14ac:dyDescent="0.3">
      <c r="A841" s="7" t="s">
        <v>1534</v>
      </c>
      <c r="B841" s="8" t="s">
        <v>1535</v>
      </c>
      <c r="C841" s="22">
        <v>7</v>
      </c>
    </row>
    <row r="842" spans="1:3" x14ac:dyDescent="0.3">
      <c r="A842" s="7" t="s">
        <v>1536</v>
      </c>
      <c r="B842" s="8" t="s">
        <v>1537</v>
      </c>
      <c r="C842" s="22">
        <v>11</v>
      </c>
    </row>
    <row r="843" spans="1:3" x14ac:dyDescent="0.3">
      <c r="A843" s="7" t="s">
        <v>1538</v>
      </c>
      <c r="B843" s="8" t="s">
        <v>1539</v>
      </c>
      <c r="C843" s="22">
        <v>11</v>
      </c>
    </row>
    <row r="844" spans="1:3" x14ac:dyDescent="0.3">
      <c r="A844" s="7" t="s">
        <v>1540</v>
      </c>
      <c r="B844" s="10" t="s">
        <v>1541</v>
      </c>
      <c r="C844" s="22">
        <v>7</v>
      </c>
    </row>
    <row r="845" spans="1:3" x14ac:dyDescent="0.3">
      <c r="A845" s="7" t="s">
        <v>1542</v>
      </c>
      <c r="B845" s="10" t="s">
        <v>1543</v>
      </c>
      <c r="C845" s="22">
        <v>7</v>
      </c>
    </row>
    <row r="846" spans="1:3" x14ac:dyDescent="0.3">
      <c r="A846" s="7" t="s">
        <v>1544</v>
      </c>
      <c r="B846" s="10" t="s">
        <v>1545</v>
      </c>
      <c r="C846" s="22">
        <v>7</v>
      </c>
    </row>
    <row r="847" spans="1:3" x14ac:dyDescent="0.3">
      <c r="A847" s="7" t="s">
        <v>1546</v>
      </c>
      <c r="B847" s="10" t="s">
        <v>1547</v>
      </c>
      <c r="C847" s="22">
        <v>7</v>
      </c>
    </row>
    <row r="848" spans="1:3" x14ac:dyDescent="0.3">
      <c r="A848" s="7" t="s">
        <v>1548</v>
      </c>
      <c r="B848" s="10" t="s">
        <v>1549</v>
      </c>
      <c r="C848" s="22">
        <v>11</v>
      </c>
    </row>
    <row r="849" spans="1:3" x14ac:dyDescent="0.3">
      <c r="A849" s="7" t="s">
        <v>1550</v>
      </c>
      <c r="B849" s="10" t="s">
        <v>1551</v>
      </c>
      <c r="C849" s="22">
        <v>7</v>
      </c>
    </row>
    <row r="850" spans="1:3" x14ac:dyDescent="0.3">
      <c r="A850" s="7" t="s">
        <v>1552</v>
      </c>
      <c r="B850" s="10" t="s">
        <v>1553</v>
      </c>
      <c r="C850" s="22">
        <v>7</v>
      </c>
    </row>
    <row r="851" spans="1:3" x14ac:dyDescent="0.3">
      <c r="A851" s="7" t="s">
        <v>1554</v>
      </c>
      <c r="B851" s="10" t="s">
        <v>1555</v>
      </c>
      <c r="C851" s="22">
        <v>7</v>
      </c>
    </row>
    <row r="852" spans="1:3" x14ac:dyDescent="0.3">
      <c r="A852" s="7" t="s">
        <v>1556</v>
      </c>
      <c r="B852" s="10" t="s">
        <v>1557</v>
      </c>
      <c r="C852" s="22">
        <v>11</v>
      </c>
    </row>
    <row r="853" spans="1:3" x14ac:dyDescent="0.3">
      <c r="A853" s="7" t="s">
        <v>1558</v>
      </c>
      <c r="B853" s="10" t="s">
        <v>1559</v>
      </c>
      <c r="C853" s="22">
        <v>11</v>
      </c>
    </row>
    <row r="854" spans="1:3" x14ac:dyDescent="0.3">
      <c r="A854" s="7" t="s">
        <v>1560</v>
      </c>
      <c r="B854" s="10" t="s">
        <v>1561</v>
      </c>
      <c r="C854" s="22">
        <v>11</v>
      </c>
    </row>
    <row r="855" spans="1:3" x14ac:dyDescent="0.3">
      <c r="A855" s="7" t="s">
        <v>1562</v>
      </c>
      <c r="B855" s="10" t="s">
        <v>1563</v>
      </c>
      <c r="C855" s="22">
        <v>11</v>
      </c>
    </row>
    <row r="856" spans="1:3" x14ac:dyDescent="0.3">
      <c r="A856" s="7" t="s">
        <v>1564</v>
      </c>
      <c r="B856" s="10" t="s">
        <v>1565</v>
      </c>
      <c r="C856" s="22">
        <v>11</v>
      </c>
    </row>
    <row r="857" spans="1:3" x14ac:dyDescent="0.3">
      <c r="A857" s="7" t="s">
        <v>1566</v>
      </c>
      <c r="B857" s="10" t="s">
        <v>1567</v>
      </c>
      <c r="C857" s="22">
        <v>11</v>
      </c>
    </row>
    <row r="858" spans="1:3" x14ac:dyDescent="0.3">
      <c r="A858" s="7" t="s">
        <v>1568</v>
      </c>
      <c r="B858" s="10" t="s">
        <v>1569</v>
      </c>
      <c r="C858" s="22">
        <v>11</v>
      </c>
    </row>
    <row r="859" spans="1:3" x14ac:dyDescent="0.3">
      <c r="A859" s="7" t="s">
        <v>1570</v>
      </c>
      <c r="B859" s="10" t="s">
        <v>1571</v>
      </c>
      <c r="C859" s="22">
        <v>11</v>
      </c>
    </row>
    <row r="860" spans="1:3" x14ac:dyDescent="0.3">
      <c r="A860" s="7" t="s">
        <v>1572</v>
      </c>
      <c r="B860" s="10" t="s">
        <v>1573</v>
      </c>
      <c r="C860" s="22">
        <v>11</v>
      </c>
    </row>
    <row r="861" spans="1:3" x14ac:dyDescent="0.3">
      <c r="A861" s="7" t="s">
        <v>1574</v>
      </c>
      <c r="B861" s="9" t="s">
        <v>1575</v>
      </c>
      <c r="C861" s="22">
        <v>11</v>
      </c>
    </row>
    <row r="862" spans="1:3" x14ac:dyDescent="0.3">
      <c r="A862" s="7" t="s">
        <v>1576</v>
      </c>
      <c r="B862" s="10" t="s">
        <v>1577</v>
      </c>
      <c r="C862" s="22">
        <v>7</v>
      </c>
    </row>
    <row r="863" spans="1:3" x14ac:dyDescent="0.3">
      <c r="A863" s="7" t="s">
        <v>1578</v>
      </c>
      <c r="B863" s="10" t="s">
        <v>1579</v>
      </c>
      <c r="C863" s="22">
        <v>7</v>
      </c>
    </row>
    <row r="864" spans="1:3" x14ac:dyDescent="0.3">
      <c r="A864" s="7" t="s">
        <v>1580</v>
      </c>
      <c r="B864" s="10" t="s">
        <v>1581</v>
      </c>
      <c r="C864" s="22">
        <v>7</v>
      </c>
    </row>
    <row r="865" spans="1:3" x14ac:dyDescent="0.3">
      <c r="A865" s="7" t="s">
        <v>1582</v>
      </c>
      <c r="B865" s="10" t="s">
        <v>1583</v>
      </c>
      <c r="C865" s="22">
        <v>7</v>
      </c>
    </row>
    <row r="866" spans="1:3" x14ac:dyDescent="0.3">
      <c r="A866" s="7" t="s">
        <v>1584</v>
      </c>
      <c r="B866" s="10" t="s">
        <v>1585</v>
      </c>
      <c r="C866" s="22">
        <v>7</v>
      </c>
    </row>
    <row r="867" spans="1:3" x14ac:dyDescent="0.3">
      <c r="A867" s="7" t="s">
        <v>1586</v>
      </c>
      <c r="B867" s="8" t="s">
        <v>1587</v>
      </c>
      <c r="C867" s="22">
        <v>10</v>
      </c>
    </row>
    <row r="868" spans="1:3" x14ac:dyDescent="0.3">
      <c r="A868" s="7" t="s">
        <v>1588</v>
      </c>
      <c r="B868" s="8" t="s">
        <v>1589</v>
      </c>
      <c r="C868" s="22">
        <v>10</v>
      </c>
    </row>
    <row r="869" spans="1:3" x14ac:dyDescent="0.3">
      <c r="A869" s="7" t="s">
        <v>1590</v>
      </c>
      <c r="B869" s="8" t="s">
        <v>1591</v>
      </c>
      <c r="C869" s="22">
        <v>10</v>
      </c>
    </row>
    <row r="870" spans="1:3" x14ac:dyDescent="0.3">
      <c r="A870" s="7" t="s">
        <v>1592</v>
      </c>
      <c r="B870" s="8" t="s">
        <v>1593</v>
      </c>
      <c r="C870" s="22">
        <v>10</v>
      </c>
    </row>
    <row r="871" spans="1:3" x14ac:dyDescent="0.3">
      <c r="A871" s="7" t="s">
        <v>1594</v>
      </c>
      <c r="B871" s="8" t="s">
        <v>1595</v>
      </c>
      <c r="C871" s="22">
        <v>10</v>
      </c>
    </row>
    <row r="872" spans="1:3" x14ac:dyDescent="0.3">
      <c r="A872" s="7" t="s">
        <v>1596</v>
      </c>
      <c r="B872" s="8" t="s">
        <v>1597</v>
      </c>
      <c r="C872" s="22">
        <v>10</v>
      </c>
    </row>
    <row r="873" spans="1:3" x14ac:dyDescent="0.3">
      <c r="A873" s="7" t="s">
        <v>1598</v>
      </c>
      <c r="B873" s="8" t="s">
        <v>1599</v>
      </c>
      <c r="C873" s="22">
        <v>10</v>
      </c>
    </row>
    <row r="874" spans="1:3" x14ac:dyDescent="0.3">
      <c r="A874" s="7" t="s">
        <v>1600</v>
      </c>
      <c r="B874" s="8" t="s">
        <v>1601</v>
      </c>
      <c r="C874" s="22">
        <v>10</v>
      </c>
    </row>
    <row r="875" spans="1:3" x14ac:dyDescent="0.3">
      <c r="A875" s="7" t="s">
        <v>1602</v>
      </c>
      <c r="B875" s="8" t="s">
        <v>1603</v>
      </c>
      <c r="C875" s="22">
        <v>10</v>
      </c>
    </row>
    <row r="876" spans="1:3" x14ac:dyDescent="0.3">
      <c r="A876" s="7" t="s">
        <v>1604</v>
      </c>
      <c r="B876" s="8" t="s">
        <v>1605</v>
      </c>
      <c r="C876" s="22">
        <v>10</v>
      </c>
    </row>
    <row r="877" spans="1:3" x14ac:dyDescent="0.3">
      <c r="A877" s="7" t="s">
        <v>1606</v>
      </c>
      <c r="B877" s="8" t="s">
        <v>1607</v>
      </c>
      <c r="C877" s="22">
        <v>10</v>
      </c>
    </row>
    <row r="878" spans="1:3" x14ac:dyDescent="0.3">
      <c r="A878" s="7" t="s">
        <v>1608</v>
      </c>
      <c r="B878" s="8" t="s">
        <v>1609</v>
      </c>
      <c r="C878" s="22">
        <v>10</v>
      </c>
    </row>
    <row r="879" spans="1:3" x14ac:dyDescent="0.3">
      <c r="A879" s="7" t="s">
        <v>1610</v>
      </c>
      <c r="B879" s="8" t="s">
        <v>1611</v>
      </c>
      <c r="C879" s="22">
        <v>10</v>
      </c>
    </row>
    <row r="880" spans="1:3" x14ac:dyDescent="0.3">
      <c r="A880" s="7" t="s">
        <v>1612</v>
      </c>
      <c r="B880" s="8" t="s">
        <v>1613</v>
      </c>
      <c r="C880" s="22">
        <v>10</v>
      </c>
    </row>
    <row r="881" spans="1:3" x14ac:dyDescent="0.3">
      <c r="A881" s="7" t="s">
        <v>1614</v>
      </c>
      <c r="B881" s="8" t="s">
        <v>1615</v>
      </c>
      <c r="C881" s="22">
        <v>10</v>
      </c>
    </row>
    <row r="882" spans="1:3" x14ac:dyDescent="0.3">
      <c r="A882" s="7" t="s">
        <v>1616</v>
      </c>
      <c r="B882" s="8" t="s">
        <v>1617</v>
      </c>
      <c r="C882" s="22">
        <v>10</v>
      </c>
    </row>
    <row r="883" spans="1:3" x14ac:dyDescent="0.3">
      <c r="A883" s="7" t="s">
        <v>1618</v>
      </c>
      <c r="B883" s="8" t="s">
        <v>1619</v>
      </c>
      <c r="C883" s="22">
        <v>11</v>
      </c>
    </row>
    <row r="884" spans="1:3" x14ac:dyDescent="0.3">
      <c r="A884" s="7" t="s">
        <v>1620</v>
      </c>
      <c r="B884" s="8" t="s">
        <v>1621</v>
      </c>
      <c r="C884" s="22">
        <v>11</v>
      </c>
    </row>
    <row r="885" spans="1:3" x14ac:dyDescent="0.3">
      <c r="A885" s="7" t="s">
        <v>1622</v>
      </c>
      <c r="B885" s="8" t="s">
        <v>1623</v>
      </c>
      <c r="C885" s="22">
        <v>11</v>
      </c>
    </row>
    <row r="886" spans="1:3" x14ac:dyDescent="0.3">
      <c r="A886" s="7" t="s">
        <v>1624</v>
      </c>
      <c r="B886" s="8" t="s">
        <v>1625</v>
      </c>
      <c r="C886" s="22">
        <v>11</v>
      </c>
    </row>
    <row r="887" spans="1:3" x14ac:dyDescent="0.3">
      <c r="A887" s="7" t="s">
        <v>1626</v>
      </c>
      <c r="B887" s="8" t="s">
        <v>1627</v>
      </c>
      <c r="C887" s="22">
        <v>11</v>
      </c>
    </row>
    <row r="888" spans="1:3" x14ac:dyDescent="0.3">
      <c r="A888" s="7" t="s">
        <v>1628</v>
      </c>
      <c r="B888" s="8" t="s">
        <v>1629</v>
      </c>
      <c r="C888" s="22">
        <v>11</v>
      </c>
    </row>
    <row r="889" spans="1:3" x14ac:dyDescent="0.3">
      <c r="A889" s="7" t="s">
        <v>1630</v>
      </c>
      <c r="B889" s="8" t="s">
        <v>1631</v>
      </c>
      <c r="C889" s="22">
        <v>11</v>
      </c>
    </row>
    <row r="890" spans="1:3" x14ac:dyDescent="0.3">
      <c r="A890" s="7" t="s">
        <v>1632</v>
      </c>
      <c r="B890" s="8" t="s">
        <v>1621</v>
      </c>
      <c r="C890" s="22">
        <v>11</v>
      </c>
    </row>
    <row r="891" spans="1:3" x14ac:dyDescent="0.3">
      <c r="A891" s="7" t="s">
        <v>1633</v>
      </c>
      <c r="B891" s="8" t="s">
        <v>1634</v>
      </c>
      <c r="C891" s="22">
        <v>11</v>
      </c>
    </row>
    <row r="892" spans="1:3" x14ac:dyDescent="0.3">
      <c r="A892" s="7" t="s">
        <v>1635</v>
      </c>
      <c r="B892" s="8" t="s">
        <v>1636</v>
      </c>
      <c r="C892" s="22">
        <v>11</v>
      </c>
    </row>
    <row r="893" spans="1:3" x14ac:dyDescent="0.3">
      <c r="A893" s="7" t="s">
        <v>1637</v>
      </c>
      <c r="B893" s="8" t="s">
        <v>1638</v>
      </c>
      <c r="C893" s="22">
        <v>11</v>
      </c>
    </row>
    <row r="894" spans="1:3" x14ac:dyDescent="0.3">
      <c r="A894" s="7" t="s">
        <v>1639</v>
      </c>
      <c r="B894" s="8" t="s">
        <v>1640</v>
      </c>
      <c r="C894" s="22">
        <v>11</v>
      </c>
    </row>
    <row r="895" spans="1:3" x14ac:dyDescent="0.3">
      <c r="A895" s="7" t="s">
        <v>1641</v>
      </c>
      <c r="B895" s="8" t="s">
        <v>1642</v>
      </c>
      <c r="C895" s="22">
        <v>11</v>
      </c>
    </row>
    <row r="896" spans="1:3" x14ac:dyDescent="0.3">
      <c r="A896" s="7" t="s">
        <v>1643</v>
      </c>
      <c r="B896" s="8" t="s">
        <v>1644</v>
      </c>
      <c r="C896" s="22">
        <v>11</v>
      </c>
    </row>
    <row r="897" spans="1:3" x14ac:dyDescent="0.3">
      <c r="A897" s="7" t="s">
        <v>1645</v>
      </c>
      <c r="B897" s="8" t="s">
        <v>1623</v>
      </c>
      <c r="C897" s="22">
        <v>11</v>
      </c>
    </row>
    <row r="898" spans="1:3" x14ac:dyDescent="0.3">
      <c r="A898" s="7" t="s">
        <v>1646</v>
      </c>
      <c r="B898" s="8" t="s">
        <v>1647</v>
      </c>
      <c r="C898" s="22">
        <v>11</v>
      </c>
    </row>
    <row r="899" spans="1:3" x14ac:dyDescent="0.3">
      <c r="A899" s="7" t="s">
        <v>1648</v>
      </c>
      <c r="B899" s="8" t="s">
        <v>1649</v>
      </c>
      <c r="C899" s="22">
        <v>11</v>
      </c>
    </row>
    <row r="900" spans="1:3" x14ac:dyDescent="0.3">
      <c r="A900" s="7" t="s">
        <v>1650</v>
      </c>
      <c r="B900" s="8" t="s">
        <v>1651</v>
      </c>
      <c r="C900" s="22">
        <v>11</v>
      </c>
    </row>
    <row r="901" spans="1:3" x14ac:dyDescent="0.3">
      <c r="A901" s="7" t="s">
        <v>1652</v>
      </c>
      <c r="B901" s="8" t="s">
        <v>1653</v>
      </c>
      <c r="C901" s="22">
        <v>11</v>
      </c>
    </row>
    <row r="902" spans="1:3" x14ac:dyDescent="0.3">
      <c r="A902" s="7" t="s">
        <v>1654</v>
      </c>
      <c r="B902" s="8" t="s">
        <v>1625</v>
      </c>
      <c r="C902" s="22">
        <v>11</v>
      </c>
    </row>
    <row r="903" spans="1:3" x14ac:dyDescent="0.3">
      <c r="A903" s="7" t="s">
        <v>1655</v>
      </c>
      <c r="B903" s="8" t="s">
        <v>1627</v>
      </c>
      <c r="C903" s="22">
        <v>11</v>
      </c>
    </row>
    <row r="904" spans="1:3" x14ac:dyDescent="0.3">
      <c r="A904" s="7" t="s">
        <v>1656</v>
      </c>
      <c r="B904" s="8" t="s">
        <v>1657</v>
      </c>
      <c r="C904" s="22">
        <v>11</v>
      </c>
    </row>
    <row r="905" spans="1:3" x14ac:dyDescent="0.3">
      <c r="A905" s="7" t="s">
        <v>1658</v>
      </c>
      <c r="B905" s="8" t="s">
        <v>1659</v>
      </c>
      <c r="C905" s="22">
        <v>11</v>
      </c>
    </row>
    <row r="906" spans="1:3" x14ac:dyDescent="0.3">
      <c r="A906" s="7" t="s">
        <v>1660</v>
      </c>
      <c r="B906" s="8" t="s">
        <v>1661</v>
      </c>
      <c r="C906" s="22">
        <v>11</v>
      </c>
    </row>
    <row r="907" spans="1:3" x14ac:dyDescent="0.3">
      <c r="A907" s="7" t="s">
        <v>1662</v>
      </c>
      <c r="B907" s="8" t="s">
        <v>1663</v>
      </c>
      <c r="C907" s="22">
        <v>11</v>
      </c>
    </row>
    <row r="908" spans="1:3" x14ac:dyDescent="0.3">
      <c r="A908" s="7" t="s">
        <v>1664</v>
      </c>
      <c r="B908" s="8" t="s">
        <v>1663</v>
      </c>
      <c r="C908" s="22">
        <v>11</v>
      </c>
    </row>
    <row r="909" spans="1:3" x14ac:dyDescent="0.3">
      <c r="A909" s="7" t="s">
        <v>1665</v>
      </c>
      <c r="B909" s="8" t="s">
        <v>1647</v>
      </c>
      <c r="C909" s="22">
        <v>11</v>
      </c>
    </row>
    <row r="910" spans="1:3" x14ac:dyDescent="0.3">
      <c r="A910" s="7" t="s">
        <v>1666</v>
      </c>
      <c r="B910" s="8" t="s">
        <v>1667</v>
      </c>
      <c r="C910" s="22">
        <v>11</v>
      </c>
    </row>
    <row r="911" spans="1:3" x14ac:dyDescent="0.3">
      <c r="A911" s="7" t="s">
        <v>1668</v>
      </c>
      <c r="B911" s="8" t="s">
        <v>1669</v>
      </c>
      <c r="C911" s="22">
        <v>11</v>
      </c>
    </row>
    <row r="912" spans="1:3" x14ac:dyDescent="0.3">
      <c r="A912" s="7" t="s">
        <v>1670</v>
      </c>
      <c r="B912" s="8" t="s">
        <v>1653</v>
      </c>
      <c r="C912" s="22">
        <v>11</v>
      </c>
    </row>
    <row r="913" spans="1:3" x14ac:dyDescent="0.3">
      <c r="A913" s="7" t="s">
        <v>1671</v>
      </c>
      <c r="B913" s="8" t="s">
        <v>1672</v>
      </c>
      <c r="C913" s="22">
        <v>11</v>
      </c>
    </row>
    <row r="914" spans="1:3" x14ac:dyDescent="0.3">
      <c r="A914" s="7" t="s">
        <v>1673</v>
      </c>
      <c r="B914" s="8" t="s">
        <v>904</v>
      </c>
      <c r="C914" s="22">
        <v>11</v>
      </c>
    </row>
    <row r="915" spans="1:3" x14ac:dyDescent="0.3">
      <c r="A915" s="7" t="s">
        <v>1674</v>
      </c>
      <c r="B915" s="8" t="s">
        <v>906</v>
      </c>
      <c r="C915" s="22">
        <v>11</v>
      </c>
    </row>
    <row r="916" spans="1:3" x14ac:dyDescent="0.3">
      <c r="A916" s="7" t="s">
        <v>1675</v>
      </c>
      <c r="B916" s="8" t="s">
        <v>1676</v>
      </c>
      <c r="C916" s="22">
        <v>11</v>
      </c>
    </row>
    <row r="917" spans="1:3" x14ac:dyDescent="0.3">
      <c r="A917" s="7" t="s">
        <v>1677</v>
      </c>
      <c r="B917" s="8" t="s">
        <v>910</v>
      </c>
      <c r="C917" s="22">
        <v>11</v>
      </c>
    </row>
    <row r="918" spans="1:3" x14ac:dyDescent="0.3">
      <c r="A918" s="7" t="s">
        <v>1678</v>
      </c>
      <c r="B918" s="8" t="s">
        <v>912</v>
      </c>
      <c r="C918" s="22">
        <v>11</v>
      </c>
    </row>
    <row r="919" spans="1:3" x14ac:dyDescent="0.3">
      <c r="A919" s="7" t="s">
        <v>1679</v>
      </c>
      <c r="B919" s="8" t="s">
        <v>914</v>
      </c>
      <c r="C919" s="22">
        <v>11</v>
      </c>
    </row>
    <row r="920" spans="1:3" x14ac:dyDescent="0.3">
      <c r="A920" s="7" t="s">
        <v>1680</v>
      </c>
      <c r="B920" s="8" t="s">
        <v>1681</v>
      </c>
      <c r="C920" s="22">
        <v>11</v>
      </c>
    </row>
    <row r="921" spans="1:3" x14ac:dyDescent="0.3">
      <c r="A921" s="7" t="s">
        <v>1682</v>
      </c>
      <c r="B921" s="8" t="s">
        <v>1683</v>
      </c>
      <c r="C921" s="22">
        <v>11</v>
      </c>
    </row>
    <row r="922" spans="1:3" x14ac:dyDescent="0.3">
      <c r="A922" s="7" t="s">
        <v>1684</v>
      </c>
      <c r="B922" s="8" t="s">
        <v>1685</v>
      </c>
      <c r="C922" s="22">
        <v>11</v>
      </c>
    </row>
    <row r="923" spans="1:3" x14ac:dyDescent="0.3">
      <c r="A923" s="7" t="s">
        <v>1686</v>
      </c>
      <c r="B923" s="8" t="s">
        <v>922</v>
      </c>
      <c r="C923" s="22">
        <v>11</v>
      </c>
    </row>
    <row r="924" spans="1:3" x14ac:dyDescent="0.3">
      <c r="A924" s="7" t="s">
        <v>1687</v>
      </c>
      <c r="B924" s="8" t="s">
        <v>924</v>
      </c>
      <c r="C924" s="22">
        <v>11</v>
      </c>
    </row>
    <row r="925" spans="1:3" x14ac:dyDescent="0.3">
      <c r="A925" s="7" t="s">
        <v>1688</v>
      </c>
      <c r="B925" s="8" t="s">
        <v>1689</v>
      </c>
      <c r="C925" s="22">
        <v>11</v>
      </c>
    </row>
    <row r="926" spans="1:3" x14ac:dyDescent="0.3">
      <c r="A926" s="7" t="s">
        <v>1690</v>
      </c>
      <c r="B926" s="8" t="s">
        <v>1691</v>
      </c>
      <c r="C926" s="22">
        <v>11</v>
      </c>
    </row>
    <row r="927" spans="1:3" x14ac:dyDescent="0.3">
      <c r="A927" s="7" t="s">
        <v>1692</v>
      </c>
      <c r="B927" s="8" t="s">
        <v>928</v>
      </c>
      <c r="C927" s="22">
        <v>11</v>
      </c>
    </row>
    <row r="928" spans="1:3" x14ac:dyDescent="0.3">
      <c r="A928" s="7" t="s">
        <v>1693</v>
      </c>
      <c r="B928" s="8" t="s">
        <v>930</v>
      </c>
      <c r="C928" s="22">
        <v>11</v>
      </c>
    </row>
    <row r="929" spans="1:3" x14ac:dyDescent="0.3">
      <c r="A929" s="7" t="s">
        <v>1694</v>
      </c>
      <c r="B929" s="8" t="s">
        <v>1695</v>
      </c>
      <c r="C929" s="22">
        <v>11</v>
      </c>
    </row>
    <row r="930" spans="1:3" x14ac:dyDescent="0.3">
      <c r="A930" s="7" t="s">
        <v>1696</v>
      </c>
      <c r="B930" s="8" t="s">
        <v>1296</v>
      </c>
      <c r="C930" s="22">
        <v>11</v>
      </c>
    </row>
    <row r="931" spans="1:3" x14ac:dyDescent="0.3">
      <c r="A931" s="7" t="s">
        <v>1697</v>
      </c>
      <c r="B931" s="8" t="s">
        <v>1698</v>
      </c>
      <c r="C931" s="22">
        <v>11</v>
      </c>
    </row>
    <row r="932" spans="1:3" x14ac:dyDescent="0.3">
      <c r="A932" s="7" t="s">
        <v>1699</v>
      </c>
      <c r="B932" s="8" t="s">
        <v>1300</v>
      </c>
      <c r="C932" s="22">
        <v>11</v>
      </c>
    </row>
    <row r="933" spans="1:3" x14ac:dyDescent="0.3">
      <c r="A933" s="7" t="s">
        <v>1700</v>
      </c>
      <c r="B933" s="8" t="s">
        <v>1302</v>
      </c>
      <c r="C933" s="22">
        <v>11</v>
      </c>
    </row>
    <row r="934" spans="1:3" x14ac:dyDescent="0.3">
      <c r="A934" s="7" t="s">
        <v>1701</v>
      </c>
      <c r="B934" s="8" t="s">
        <v>934</v>
      </c>
      <c r="C934" s="22">
        <v>11</v>
      </c>
    </row>
    <row r="935" spans="1:3" x14ac:dyDescent="0.3">
      <c r="A935" s="7" t="s">
        <v>1702</v>
      </c>
      <c r="B935" s="8" t="s">
        <v>1703</v>
      </c>
      <c r="C935" s="22">
        <v>11</v>
      </c>
    </row>
    <row r="936" spans="1:3" x14ac:dyDescent="0.3">
      <c r="A936" s="7" t="s">
        <v>1704</v>
      </c>
      <c r="B936" s="8" t="s">
        <v>1705</v>
      </c>
      <c r="C936" s="22">
        <v>11</v>
      </c>
    </row>
    <row r="937" spans="1:3" x14ac:dyDescent="0.3">
      <c r="A937" s="7" t="s">
        <v>1706</v>
      </c>
      <c r="B937" s="8" t="s">
        <v>1707</v>
      </c>
      <c r="C937" s="22">
        <v>11</v>
      </c>
    </row>
    <row r="938" spans="1:3" x14ac:dyDescent="0.3">
      <c r="A938" s="7" t="s">
        <v>1708</v>
      </c>
      <c r="B938" s="8" t="s">
        <v>1709</v>
      </c>
      <c r="C938" s="22">
        <v>11</v>
      </c>
    </row>
    <row r="939" spans="1:3" x14ac:dyDescent="0.3">
      <c r="A939" s="7" t="s">
        <v>1710</v>
      </c>
      <c r="B939" s="8" t="s">
        <v>1711</v>
      </c>
      <c r="C939" s="22">
        <v>11</v>
      </c>
    </row>
    <row r="940" spans="1:3" x14ac:dyDescent="0.3">
      <c r="A940" s="7" t="s">
        <v>1712</v>
      </c>
      <c r="B940" s="8" t="s">
        <v>1713</v>
      </c>
      <c r="C940" s="22">
        <v>11</v>
      </c>
    </row>
    <row r="941" spans="1:3" x14ac:dyDescent="0.3">
      <c r="A941" s="7" t="s">
        <v>1714</v>
      </c>
      <c r="B941" s="8" t="s">
        <v>1715</v>
      </c>
      <c r="C941" s="22">
        <v>11</v>
      </c>
    </row>
    <row r="942" spans="1:3" x14ac:dyDescent="0.3">
      <c r="A942" s="7" t="s">
        <v>1716</v>
      </c>
      <c r="B942" s="8" t="s">
        <v>1717</v>
      </c>
      <c r="C942" s="22">
        <v>11</v>
      </c>
    </row>
    <row r="943" spans="1:3" x14ac:dyDescent="0.3">
      <c r="A943" s="7" t="s">
        <v>1718</v>
      </c>
      <c r="B943" s="8" t="s">
        <v>1719</v>
      </c>
      <c r="C943" s="22">
        <v>11</v>
      </c>
    </row>
    <row r="944" spans="1:3" x14ac:dyDescent="0.3">
      <c r="A944" s="7" t="s">
        <v>1720</v>
      </c>
      <c r="B944" s="8" t="s">
        <v>1703</v>
      </c>
      <c r="C944" s="22">
        <v>11</v>
      </c>
    </row>
    <row r="945" spans="1:3" x14ac:dyDescent="0.3">
      <c r="A945" s="7" t="s">
        <v>1721</v>
      </c>
      <c r="B945" s="8" t="s">
        <v>1705</v>
      </c>
      <c r="C945" s="22">
        <v>11</v>
      </c>
    </row>
    <row r="946" spans="1:3" x14ac:dyDescent="0.3">
      <c r="A946" s="7" t="s">
        <v>1722</v>
      </c>
      <c r="B946" s="8" t="s">
        <v>1707</v>
      </c>
      <c r="C946" s="22">
        <v>11</v>
      </c>
    </row>
    <row r="947" spans="1:3" x14ac:dyDescent="0.3">
      <c r="A947" s="7" t="s">
        <v>1723</v>
      </c>
      <c r="B947" s="8" t="s">
        <v>1311</v>
      </c>
      <c r="C947" s="22">
        <v>11</v>
      </c>
    </row>
    <row r="948" spans="1:3" x14ac:dyDescent="0.3">
      <c r="A948" s="7" t="s">
        <v>1724</v>
      </c>
      <c r="B948" s="8" t="s">
        <v>1711</v>
      </c>
      <c r="C948" s="22">
        <v>11</v>
      </c>
    </row>
    <row r="949" spans="1:3" x14ac:dyDescent="0.3">
      <c r="A949" s="7" t="s">
        <v>1725</v>
      </c>
      <c r="B949" s="8" t="s">
        <v>1726</v>
      </c>
      <c r="C949" s="22">
        <v>11</v>
      </c>
    </row>
    <row r="950" spans="1:3" x14ac:dyDescent="0.3">
      <c r="A950" s="7" t="s">
        <v>1727</v>
      </c>
      <c r="B950" s="8" t="s">
        <v>1728</v>
      </c>
      <c r="C950" s="22">
        <v>11</v>
      </c>
    </row>
    <row r="951" spans="1:3" x14ac:dyDescent="0.3">
      <c r="A951" s="7" t="s">
        <v>1729</v>
      </c>
      <c r="B951" s="8" t="s">
        <v>1730</v>
      </c>
      <c r="C951" s="22">
        <v>11</v>
      </c>
    </row>
    <row r="952" spans="1:3" x14ac:dyDescent="0.3">
      <c r="A952" s="7" t="s">
        <v>1731</v>
      </c>
      <c r="B952" s="8" t="s">
        <v>1719</v>
      </c>
      <c r="C952" s="22">
        <v>11</v>
      </c>
    </row>
    <row r="953" spans="1:3" x14ac:dyDescent="0.3">
      <c r="A953" s="7" t="s">
        <v>1732</v>
      </c>
      <c r="B953" s="8" t="s">
        <v>1733</v>
      </c>
      <c r="C953" s="22">
        <v>11</v>
      </c>
    </row>
    <row r="954" spans="1:3" x14ac:dyDescent="0.3">
      <c r="A954" s="7" t="s">
        <v>1734</v>
      </c>
      <c r="B954" s="8" t="s">
        <v>1735</v>
      </c>
      <c r="C954" s="22">
        <v>11</v>
      </c>
    </row>
    <row r="955" spans="1:3" x14ac:dyDescent="0.3">
      <c r="A955" s="7" t="s">
        <v>1736</v>
      </c>
      <c r="B955" s="8" t="s">
        <v>1707</v>
      </c>
      <c r="C955" s="22">
        <v>11</v>
      </c>
    </row>
    <row r="956" spans="1:3" x14ac:dyDescent="0.3">
      <c r="A956" s="7" t="s">
        <v>1737</v>
      </c>
      <c r="B956" s="8" t="s">
        <v>1738</v>
      </c>
      <c r="C956" s="22">
        <v>11</v>
      </c>
    </row>
    <row r="957" spans="1:3" x14ac:dyDescent="0.3">
      <c r="A957" s="7" t="s">
        <v>1739</v>
      </c>
      <c r="B957" s="8" t="s">
        <v>1730</v>
      </c>
      <c r="C957" s="22">
        <v>11</v>
      </c>
    </row>
    <row r="958" spans="1:3" x14ac:dyDescent="0.3">
      <c r="A958" s="7" t="s">
        <v>1740</v>
      </c>
      <c r="B958" s="8" t="s">
        <v>1719</v>
      </c>
      <c r="C958" s="22">
        <v>11</v>
      </c>
    </row>
    <row r="959" spans="1:3" x14ac:dyDescent="0.3">
      <c r="A959" s="7" t="s">
        <v>1741</v>
      </c>
      <c r="B959" s="8" t="s">
        <v>1742</v>
      </c>
      <c r="C959" s="22">
        <v>11</v>
      </c>
    </row>
    <row r="960" spans="1:3" x14ac:dyDescent="0.3">
      <c r="A960" s="7" t="s">
        <v>1743</v>
      </c>
      <c r="B960" s="8" t="s">
        <v>1735</v>
      </c>
      <c r="C960" s="22">
        <v>11</v>
      </c>
    </row>
    <row r="961" spans="1:3" x14ac:dyDescent="0.3">
      <c r="A961" s="7" t="s">
        <v>1744</v>
      </c>
      <c r="B961" s="8" t="s">
        <v>1707</v>
      </c>
      <c r="C961" s="22">
        <v>11</v>
      </c>
    </row>
    <row r="962" spans="1:3" x14ac:dyDescent="0.3">
      <c r="A962" s="7" t="s">
        <v>1745</v>
      </c>
      <c r="B962" s="8" t="s">
        <v>1746</v>
      </c>
      <c r="C962" s="22">
        <v>11</v>
      </c>
    </row>
    <row r="963" spans="1:3" x14ac:dyDescent="0.3">
      <c r="A963" s="7" t="s">
        <v>1747</v>
      </c>
      <c r="B963" s="10" t="s">
        <v>1748</v>
      </c>
      <c r="C963" s="7"/>
    </row>
    <row r="964" spans="1:3" x14ac:dyDescent="0.3">
      <c r="A964" s="7" t="s">
        <v>1749</v>
      </c>
      <c r="B964" s="8" t="s">
        <v>1750</v>
      </c>
      <c r="C964" s="7"/>
    </row>
    <row r="965" spans="1:3" x14ac:dyDescent="0.3">
      <c r="A965" s="7" t="s">
        <v>1751</v>
      </c>
      <c r="B965" s="8" t="s">
        <v>1752</v>
      </c>
      <c r="C965" s="7"/>
    </row>
    <row r="966" spans="1:3" x14ac:dyDescent="0.3">
      <c r="A966" s="7" t="s">
        <v>1753</v>
      </c>
      <c r="B966" s="8" t="s">
        <v>1754</v>
      </c>
      <c r="C966" s="7"/>
    </row>
    <row r="967" spans="1:3" x14ac:dyDescent="0.3">
      <c r="A967" s="7" t="s">
        <v>1755</v>
      </c>
      <c r="B967" s="8" t="s">
        <v>1756</v>
      </c>
      <c r="C967" s="7"/>
    </row>
    <row r="968" spans="1:3" x14ac:dyDescent="0.3">
      <c r="A968" s="7" t="s">
        <v>1757</v>
      </c>
      <c r="B968" s="8" t="s">
        <v>1758</v>
      </c>
      <c r="C968" s="7"/>
    </row>
    <row r="969" spans="1:3" x14ac:dyDescent="0.3">
      <c r="A969" s="7" t="s">
        <v>1759</v>
      </c>
      <c r="B969" s="8" t="s">
        <v>1760</v>
      </c>
      <c r="C969" s="7"/>
    </row>
    <row r="970" spans="1:3" x14ac:dyDescent="0.3">
      <c r="A970" s="7" t="s">
        <v>1761</v>
      </c>
      <c r="B970" s="8" t="s">
        <v>1762</v>
      </c>
      <c r="C970" s="7"/>
    </row>
    <row r="971" spans="1:3" x14ac:dyDescent="0.3">
      <c r="A971" s="7" t="s">
        <v>1763</v>
      </c>
      <c r="B971" s="8" t="s">
        <v>1764</v>
      </c>
      <c r="C971" s="7"/>
    </row>
    <row r="972" spans="1:3" x14ac:dyDescent="0.3">
      <c r="A972" s="7" t="s">
        <v>1765</v>
      </c>
      <c r="B972" s="8" t="s">
        <v>1766</v>
      </c>
      <c r="C972" s="7"/>
    </row>
  </sheetData>
  <printOptions horizontalCentered="1"/>
  <pageMargins left="0" right="0" top="0.15748031496063" bottom="0.15748031496063" header="0.31496062992126" footer="0.31496062992126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K96"/>
  <sheetViews>
    <sheetView tabSelected="1" zoomScaleNormal="100" workbookViewId="0">
      <pane ySplit="3" topLeftCell="A4" activePane="bottomLeft" state="frozen"/>
      <selection activeCell="C1" sqref="C1"/>
      <selection pane="bottomLeft" activeCell="E16" sqref="E16"/>
    </sheetView>
  </sheetViews>
  <sheetFormatPr defaultRowHeight="14.4" x14ac:dyDescent="0.3"/>
  <cols>
    <col min="1" max="1" width="2.6640625" customWidth="1"/>
    <col min="2" max="2" width="19.6640625" style="44" hidden="1" customWidth="1"/>
    <col min="3" max="3" width="13.5546875" style="44" hidden="1" customWidth="1"/>
    <col min="4" max="4" width="12.88671875" customWidth="1"/>
    <col min="5" max="5" width="68.33203125" style="44" bestFit="1" customWidth="1"/>
    <col min="6" max="6" width="17.88671875" style="44" customWidth="1"/>
    <col min="7" max="7" width="15.44140625" customWidth="1"/>
    <col min="8" max="8" width="14" customWidth="1"/>
    <col min="9" max="9" width="13.6640625" bestFit="1" customWidth="1"/>
    <col min="10" max="11" width="15.5546875" bestFit="1" customWidth="1"/>
  </cols>
  <sheetData>
    <row r="1" spans="2:11" x14ac:dyDescent="0.3">
      <c r="D1" s="34"/>
      <c r="E1" s="42"/>
      <c r="F1" s="42"/>
      <c r="G1" s="34"/>
      <c r="H1" s="34"/>
      <c r="I1" s="34"/>
      <c r="J1" s="34"/>
      <c r="K1" s="34"/>
    </row>
    <row r="2" spans="2:11" s="33" customFormat="1" ht="42.75" customHeight="1" x14ac:dyDescent="0.3">
      <c r="B2" s="52" t="s">
        <v>1788</v>
      </c>
      <c r="C2" s="71"/>
      <c r="D2" s="57" t="s">
        <v>9</v>
      </c>
      <c r="E2" s="58" t="s">
        <v>1785</v>
      </c>
      <c r="F2" s="64" t="s">
        <v>1791</v>
      </c>
      <c r="G2" s="64"/>
      <c r="H2" s="63" t="s">
        <v>1792</v>
      </c>
      <c r="I2" s="63"/>
      <c r="J2" s="64" t="s">
        <v>1793</v>
      </c>
      <c r="K2" s="64"/>
    </row>
    <row r="3" spans="2:11" ht="15" thickBot="1" x14ac:dyDescent="0.35">
      <c r="B3" s="42"/>
      <c r="C3" s="72"/>
      <c r="D3" s="86"/>
      <c r="E3" s="87"/>
      <c r="F3" s="88" t="s">
        <v>1767</v>
      </c>
      <c r="G3" s="89" t="s">
        <v>1768</v>
      </c>
      <c r="H3" s="88" t="s">
        <v>1767</v>
      </c>
      <c r="I3" s="89" t="s">
        <v>1768</v>
      </c>
      <c r="J3" s="88" t="s">
        <v>1767</v>
      </c>
      <c r="K3" s="89" t="s">
        <v>1768</v>
      </c>
    </row>
    <row r="4" spans="2:11" x14ac:dyDescent="0.3">
      <c r="B4" s="65" t="s">
        <v>1786</v>
      </c>
      <c r="C4" s="59"/>
      <c r="D4" s="50" t="str">
        <f>'План счетов'!A2</f>
        <v>«1 11 110»</v>
      </c>
      <c r="E4" s="55" t="str">
        <f>'План счетов'!B2</f>
        <v>Воситаҳои пулӣ бо асъори миллӣ</v>
      </c>
      <c r="F4" s="53">
        <f>602566-499310</f>
        <v>103256</v>
      </c>
      <c r="G4" s="54"/>
      <c r="H4" s="54">
        <v>143000</v>
      </c>
      <c r="I4" s="54">
        <v>25200</v>
      </c>
      <c r="J4" s="54">
        <f>F4+H4-I4</f>
        <v>221056</v>
      </c>
      <c r="K4" s="54"/>
    </row>
    <row r="5" spans="2:11" ht="28.8" x14ac:dyDescent="0.3">
      <c r="B5" s="65"/>
      <c r="C5" s="59"/>
      <c r="D5" s="45" t="str">
        <f>'План счетов'!A18</f>
        <v>«1 11 254»</v>
      </c>
      <c r="E5" s="46" t="str">
        <f>'План счетов'!B18</f>
        <v>ҲЯХ-и ҳисобҳои шахсии маблағҳои буҷетии БМ ташкилотҳои буҷетӣ  бо асъори миллӣ</v>
      </c>
      <c r="F5" s="48">
        <v>122366</v>
      </c>
      <c r="G5" s="49"/>
      <c r="H5" s="49">
        <v>201062</v>
      </c>
      <c r="I5" s="49"/>
      <c r="J5" s="49">
        <f t="shared" ref="J5:J32" si="0">F5+H5-I5</f>
        <v>323428</v>
      </c>
      <c r="K5" s="49"/>
    </row>
    <row r="6" spans="2:11" ht="15" customHeight="1" x14ac:dyDescent="0.3">
      <c r="B6" s="65"/>
      <c r="C6" s="59"/>
      <c r="D6" s="47" t="str">
        <f>'План счетов'!A138</f>
        <v>«1 23 100»</v>
      </c>
      <c r="E6" s="47" t="str">
        <f>'План счетов'!B138</f>
        <v>Ҳисобҳо барои қабул</v>
      </c>
      <c r="F6" s="48"/>
      <c r="G6" s="49"/>
      <c r="H6" s="49"/>
      <c r="I6" s="49"/>
      <c r="J6" s="49"/>
      <c r="K6" s="49"/>
    </row>
    <row r="7" spans="2:11" ht="15" customHeight="1" x14ac:dyDescent="0.3">
      <c r="B7" s="65"/>
      <c r="C7" s="59"/>
      <c r="D7" s="45" t="str">
        <f>'План счетов'!A94</f>
        <v>«1 14 610»</v>
      </c>
      <c r="E7" s="46" t="str">
        <f>'План счетов'!B94</f>
        <v>Қарздориҳои дебитории шахсҳои ҳисобдеҳ</v>
      </c>
      <c r="F7" s="48"/>
      <c r="G7" s="49"/>
      <c r="H7" s="49"/>
      <c r="I7" s="49"/>
      <c r="J7" s="49"/>
      <c r="K7" s="49"/>
    </row>
    <row r="8" spans="2:11" ht="23.25" customHeight="1" x14ac:dyDescent="0.3">
      <c r="B8" s="65"/>
      <c r="C8" s="59"/>
      <c r="D8" s="34" t="str">
        <f>'План счетов'!A100</f>
        <v>«1 15 100»</v>
      </c>
      <c r="E8" s="42" t="str">
        <f>'План счетов'!B100</f>
        <v>Пешпардохтҳои додашуда барои молхо</v>
      </c>
      <c r="F8" s="48"/>
      <c r="G8" s="49"/>
      <c r="H8" s="49"/>
      <c r="I8" s="49"/>
      <c r="J8" s="49"/>
      <c r="K8" s="49"/>
    </row>
    <row r="9" spans="2:11" x14ac:dyDescent="0.3">
      <c r="B9" s="65"/>
      <c r="C9" s="59"/>
      <c r="D9" s="34" t="str">
        <f>'План счетов'!A101</f>
        <v>«1 15 200»</v>
      </c>
      <c r="E9" s="42" t="str">
        <f>'План счетов'!B101</f>
        <v>Пешпардохтҳои додашуда барои иљрои кор ва хизматрасониҳо</v>
      </c>
      <c r="F9" s="48"/>
      <c r="G9" s="49"/>
      <c r="H9" s="49"/>
      <c r="I9" s="49"/>
      <c r="J9" s="49"/>
      <c r="K9" s="49"/>
    </row>
    <row r="10" spans="2:11" ht="15" customHeight="1" x14ac:dyDescent="0.3">
      <c r="B10" s="65"/>
      <c r="C10" s="59"/>
      <c r="D10" s="34" t="str">
        <f>'План счетов'!A102</f>
        <v>«1 15 300»</v>
      </c>
      <c r="E10" s="42" t="str">
        <f>'План счетов'!B102</f>
        <v>Пешпардохтҳои додашуда барои иҷора</v>
      </c>
      <c r="F10" s="48"/>
      <c r="G10" s="49"/>
      <c r="H10" s="49"/>
      <c r="I10" s="49"/>
      <c r="J10" s="49"/>
      <c r="K10" s="49"/>
    </row>
    <row r="11" spans="2:11" x14ac:dyDescent="0.3">
      <c r="B11" s="65"/>
      <c r="C11" s="59"/>
      <c r="D11" s="45" t="str">
        <f>'План счетов'!A106</f>
        <v>«1 15 900»</v>
      </c>
      <c r="E11" s="46" t="str">
        <f>'План счетов'!B106</f>
        <v>Дигар пешпардохтҳои додашуда</v>
      </c>
      <c r="F11" s="48"/>
      <c r="G11" s="49"/>
      <c r="H11" s="49"/>
      <c r="I11" s="49"/>
      <c r="J11" s="49"/>
      <c r="K11" s="49"/>
    </row>
    <row r="12" spans="2:11" ht="15" customHeight="1" x14ac:dyDescent="0.3">
      <c r="B12" s="65"/>
      <c r="C12" s="59"/>
      <c r="D12" s="45" t="str">
        <f>'План счетов'!A155</f>
        <v>«1 31 120»</v>
      </c>
      <c r="E12" s="46" t="str">
        <f>'План счетов'!B155</f>
        <v xml:space="preserve">Захираҳои озуқаворӣ </v>
      </c>
      <c r="F12" s="48"/>
      <c r="G12" s="49"/>
      <c r="H12" s="49"/>
      <c r="I12" s="49"/>
      <c r="J12" s="49"/>
      <c r="K12" s="49"/>
    </row>
    <row r="13" spans="2:11" ht="15" customHeight="1" x14ac:dyDescent="0.3">
      <c r="B13" s="65"/>
      <c r="C13" s="59"/>
      <c r="D13" s="45" t="str">
        <f>'План счетов'!A156</f>
        <v>«1 31 210»</v>
      </c>
      <c r="E13" s="46" t="str">
        <f>'План счетов'!B156</f>
        <v>Молҳои канселярӣ ва асбобҳои таълимӣ</v>
      </c>
      <c r="F13" s="48"/>
      <c r="G13" s="49"/>
      <c r="H13" s="49"/>
      <c r="I13" s="49"/>
      <c r="J13" s="49"/>
      <c r="K13" s="49"/>
    </row>
    <row r="14" spans="2:11" ht="15" customHeight="1" x14ac:dyDescent="0.3">
      <c r="B14" s="65"/>
      <c r="C14" s="59"/>
      <c r="D14" s="45" t="str">
        <f>'План счетов'!A157</f>
        <v>«1 31 211»</v>
      </c>
      <c r="E14" s="46" t="str">
        <f>'План счетов'!B157</f>
        <v>Молҳои хоҷагӣ ва инвентар</v>
      </c>
      <c r="F14" s="48"/>
      <c r="G14" s="49"/>
      <c r="H14" s="49"/>
      <c r="I14" s="49"/>
      <c r="J14" s="49"/>
      <c r="K14" s="49"/>
    </row>
    <row r="15" spans="2:11" ht="15" customHeight="1" x14ac:dyDescent="0.3">
      <c r="B15" s="65"/>
      <c r="C15" s="59"/>
      <c r="D15" s="45" t="str">
        <f>'План счетов'!A158</f>
        <v>«1 31 212»</v>
      </c>
      <c r="E15" s="46" t="str">
        <f>'План счетов'!B158</f>
        <v>Маводҳои хароҷотӣ</v>
      </c>
      <c r="F15" s="48"/>
      <c r="G15" s="49"/>
      <c r="H15" s="49"/>
      <c r="I15" s="49"/>
      <c r="J15" s="49"/>
      <c r="K15" s="49"/>
    </row>
    <row r="16" spans="2:11" x14ac:dyDescent="0.3">
      <c r="B16" s="65"/>
      <c r="C16" s="59"/>
      <c r="D16" s="45" t="str">
        <f>'План счетов'!A159</f>
        <v>«1 31 213»</v>
      </c>
      <c r="E16" s="46" t="str">
        <f>'План счетов'!B159</f>
        <v>Инвентари мулоим ва либоси расмӣ</v>
      </c>
      <c r="F16" s="48"/>
      <c r="G16" s="49"/>
      <c r="H16" s="49"/>
      <c r="I16" s="49"/>
      <c r="J16" s="49"/>
      <c r="K16" s="49"/>
    </row>
    <row r="17" spans="2:11" ht="15" customHeight="1" x14ac:dyDescent="0.3">
      <c r="B17" s="65"/>
      <c r="C17" s="59"/>
      <c r="D17" s="45" t="str">
        <f>'План счетов'!A160</f>
        <v>«1 31 214»</v>
      </c>
      <c r="E17" s="46" t="str">
        <f>'План счетов'!B160</f>
        <v>Маҳсулоти хўрока</v>
      </c>
      <c r="F17" s="48"/>
      <c r="G17" s="49"/>
      <c r="H17" s="49"/>
      <c r="I17" s="49"/>
      <c r="J17" s="49"/>
      <c r="K17" s="49"/>
    </row>
    <row r="18" spans="2:11" x14ac:dyDescent="0.3">
      <c r="B18" s="65"/>
      <c r="C18" s="59"/>
      <c r="D18" s="45" t="str">
        <f>'План счетов'!A162</f>
        <v>«1 31 216»</v>
      </c>
      <c r="E18" s="46" t="str">
        <f>'План счетов'!B162</f>
        <v>Сўзишворӣ-равғанҳои молиданӣ</v>
      </c>
      <c r="F18" s="48"/>
      <c r="G18" s="49"/>
      <c r="H18" s="49"/>
      <c r="I18" s="49"/>
      <c r="J18" s="49"/>
      <c r="K18" s="49"/>
    </row>
    <row r="19" spans="2:11" ht="15" customHeight="1" x14ac:dyDescent="0.3">
      <c r="B19" s="65"/>
      <c r="C19" s="59"/>
      <c r="D19" s="45" t="str">
        <f>'План счетов'!A163</f>
        <v>«1 31 217»</v>
      </c>
      <c r="E19" s="46" t="str">
        <f>'План счетов'!B163</f>
        <v>Сўзишворӣ дар ҳисоботдиҳии ронандагон</v>
      </c>
      <c r="F19" s="48"/>
      <c r="G19" s="49"/>
      <c r="H19" s="49"/>
      <c r="I19" s="49"/>
      <c r="J19" s="49"/>
      <c r="K19" s="49"/>
    </row>
    <row r="20" spans="2:11" ht="15" customHeight="1" x14ac:dyDescent="0.3">
      <c r="B20" s="65"/>
      <c r="C20" s="59"/>
      <c r="D20" s="45" t="str">
        <f>'План счетов'!A164</f>
        <v>«1 31 218»</v>
      </c>
      <c r="E20" s="46" t="str">
        <f>'План счетов'!B164</f>
        <v xml:space="preserve">Истифодабарии захираҳои молӣ-маводӣ (ЗММ) </v>
      </c>
      <c r="F20" s="48"/>
      <c r="G20" s="49"/>
      <c r="H20" s="49"/>
      <c r="I20" s="49"/>
      <c r="J20" s="49"/>
      <c r="K20" s="49"/>
    </row>
    <row r="21" spans="2:11" ht="15" customHeight="1" x14ac:dyDescent="0.3">
      <c r="B21" s="65"/>
      <c r="C21" s="59"/>
      <c r="D21" s="45" t="str">
        <f>'План счетов'!A165</f>
        <v>«1 31 219»</v>
      </c>
      <c r="E21" s="46" t="str">
        <f>'План счетов'!B165</f>
        <v xml:space="preserve">Молҳои дигаре, ки ба дараҷаҳои дигар мансубнадошта </v>
      </c>
      <c r="F21" s="48"/>
      <c r="G21" s="49"/>
      <c r="H21" s="49"/>
      <c r="I21" s="49"/>
      <c r="J21" s="49"/>
      <c r="K21" s="49"/>
    </row>
    <row r="22" spans="2:11" ht="15" customHeight="1" x14ac:dyDescent="0.3">
      <c r="B22" s="65"/>
      <c r="C22" s="59"/>
      <c r="D22" s="45" t="str">
        <f>'План счетов'!A166</f>
        <v>«1 31 220»</v>
      </c>
      <c r="E22" s="46" t="str">
        <f>'План счетов'!B166</f>
        <v xml:space="preserve">Истеҳсолоти нотамом </v>
      </c>
      <c r="F22" s="48"/>
      <c r="G22" s="49"/>
      <c r="H22" s="49"/>
      <c r="I22" s="49"/>
      <c r="J22" s="49"/>
      <c r="K22" s="49"/>
    </row>
    <row r="23" spans="2:11" ht="15" customHeight="1" thickBot="1" x14ac:dyDescent="0.35">
      <c r="B23" s="65"/>
      <c r="C23" s="73"/>
      <c r="D23" s="45" t="str">
        <f>'План счетов'!A167</f>
        <v>«1 31 230»</v>
      </c>
      <c r="E23" s="46" t="str">
        <f>'План счетов'!B167</f>
        <v xml:space="preserve">Маҳсулоти тайёр </v>
      </c>
      <c r="F23" s="48"/>
      <c r="G23" s="49"/>
      <c r="H23" s="49"/>
      <c r="I23" s="49"/>
      <c r="J23" s="49"/>
      <c r="K23" s="49"/>
    </row>
    <row r="24" spans="2:11" ht="15" customHeight="1" x14ac:dyDescent="0.3">
      <c r="B24" s="66"/>
      <c r="C24" s="74" t="s">
        <v>1781</v>
      </c>
      <c r="D24" s="45" t="str">
        <f>'План счетов'!A170</f>
        <v>«1 41 110»</v>
      </c>
      <c r="E24" s="46" t="str">
        <f>'План счетов'!B170</f>
        <v>Биноҳои истиқоматӣ (истиқоматгоҳ)</v>
      </c>
      <c r="F24" s="48"/>
      <c r="G24" s="49"/>
      <c r="H24" s="49"/>
      <c r="I24" s="49"/>
      <c r="J24" s="49"/>
      <c r="K24" s="49"/>
    </row>
    <row r="25" spans="2:11" x14ac:dyDescent="0.3">
      <c r="B25" s="66"/>
      <c r="C25" s="75"/>
      <c r="D25" s="45" t="str">
        <f>'План счетов'!A171</f>
        <v>«1 41 120»</v>
      </c>
      <c r="E25" s="46" t="str">
        <f>'План счетов'!B171</f>
        <v xml:space="preserve">Биноҳои ғайриистиқоматӣ </v>
      </c>
      <c r="F25" s="48">
        <v>200000</v>
      </c>
      <c r="G25" s="49"/>
      <c r="H25" s="49"/>
      <c r="I25" s="49"/>
      <c r="J25" s="49">
        <f t="shared" si="0"/>
        <v>200000</v>
      </c>
      <c r="K25" s="49"/>
    </row>
    <row r="26" spans="2:11" x14ac:dyDescent="0.3">
      <c r="B26" s="66"/>
      <c r="C26" s="75"/>
      <c r="D26" s="45" t="str">
        <f>'План счетов'!A172</f>
        <v>«1 41 210»</v>
      </c>
      <c r="E26" s="46" t="str">
        <f>'План счетов'!B172</f>
        <v xml:space="preserve">Иншоот </v>
      </c>
      <c r="F26" s="48">
        <v>200000</v>
      </c>
      <c r="G26" s="49"/>
      <c r="H26" s="49"/>
      <c r="I26" s="49"/>
      <c r="J26" s="49">
        <f t="shared" si="0"/>
        <v>200000</v>
      </c>
      <c r="K26" s="49"/>
    </row>
    <row r="27" spans="2:11" x14ac:dyDescent="0.3">
      <c r="B27" s="66"/>
      <c r="C27" s="75"/>
      <c r="D27" s="45" t="str">
        <f>'План счетов'!A173</f>
        <v>«1 41 220»</v>
      </c>
      <c r="E27" s="46" t="str">
        <f>'План счетов'!B173</f>
        <v>Дастгоҳҳои таҳвилдиҳӣ</v>
      </c>
      <c r="F27" s="48">
        <v>25000</v>
      </c>
      <c r="G27" s="49"/>
      <c r="H27" s="49"/>
      <c r="I27" s="49"/>
      <c r="J27" s="49">
        <f t="shared" si="0"/>
        <v>25000</v>
      </c>
      <c r="K27" s="49"/>
    </row>
    <row r="28" spans="2:11" x14ac:dyDescent="0.3">
      <c r="B28" s="66"/>
      <c r="C28" s="75"/>
      <c r="D28" s="45" t="str">
        <f>'План счетов'!A174</f>
        <v>«1 41 310»</v>
      </c>
      <c r="E28" s="46" t="str">
        <f>'План счетов'!B174</f>
        <v xml:space="preserve">Таҷҳизоти нақлиётӣ </v>
      </c>
      <c r="F28" s="48">
        <v>15500</v>
      </c>
      <c r="G28" s="49"/>
      <c r="H28" s="49"/>
      <c r="I28" s="49"/>
      <c r="J28" s="49">
        <f t="shared" si="0"/>
        <v>15500</v>
      </c>
      <c r="K28" s="49"/>
    </row>
    <row r="29" spans="2:11" x14ac:dyDescent="0.3">
      <c r="B29" s="66"/>
      <c r="C29" s="75"/>
      <c r="D29" s="45" t="str">
        <f>'План счетов'!A175</f>
        <v>«1 41 320»</v>
      </c>
      <c r="E29" s="46" t="str">
        <f>'План счетов'!B175</f>
        <v>Дигар мошинҳо ва таҷҳизот</v>
      </c>
      <c r="F29" s="48"/>
      <c r="G29" s="49"/>
      <c r="H29" s="49"/>
      <c r="I29" s="49"/>
      <c r="J29" s="49"/>
      <c r="K29" s="49"/>
    </row>
    <row r="30" spans="2:11" x14ac:dyDescent="0.3">
      <c r="B30" s="66"/>
      <c r="C30" s="75"/>
      <c r="D30" s="45" t="str">
        <f>'План счетов'!A176</f>
        <v>«1 41 400»</v>
      </c>
      <c r="E30" s="46" t="str">
        <f>'План счетов'!B176</f>
        <v>Мебел, лавозимоти идора,асбобҳо, инвентари истеҳсолӣ ва хоҷагидорӣ</v>
      </c>
      <c r="F30" s="48">
        <v>55000</v>
      </c>
      <c r="G30" s="49"/>
      <c r="H30" s="49"/>
      <c r="I30" s="49"/>
      <c r="J30" s="49">
        <f t="shared" si="0"/>
        <v>55000</v>
      </c>
      <c r="K30" s="49"/>
    </row>
    <row r="31" spans="2:11" ht="15" thickBot="1" x14ac:dyDescent="0.35">
      <c r="B31" s="66"/>
      <c r="C31" s="76"/>
      <c r="D31" s="45" t="str">
        <f>'План счетов'!A177</f>
        <v>«1 41 500»</v>
      </c>
      <c r="E31" s="46" t="str">
        <f>'План счетов'!B177</f>
        <v xml:space="preserve">Ободонии замин </v>
      </c>
      <c r="F31" s="48"/>
      <c r="G31" s="49"/>
      <c r="H31" s="49"/>
      <c r="I31" s="49"/>
      <c r="J31" s="49"/>
      <c r="K31" s="49"/>
    </row>
    <row r="32" spans="2:11" x14ac:dyDescent="0.3">
      <c r="B32" s="65" t="s">
        <v>1787</v>
      </c>
      <c r="C32" s="77" t="s">
        <v>1794</v>
      </c>
      <c r="D32" s="45" t="str">
        <f>'План счетов'!A178</f>
        <v>«1 42 110»</v>
      </c>
      <c r="E32" s="46" t="str">
        <f>'План счетов'!B178</f>
        <v xml:space="preserve">Фарсудашавии ҷамъшуда - биноҳои истиқоматӣ </v>
      </c>
      <c r="F32" s="48"/>
      <c r="G32" s="34"/>
      <c r="H32" s="49"/>
      <c r="I32" s="49"/>
      <c r="J32" s="49"/>
      <c r="K32" s="49"/>
    </row>
    <row r="33" spans="2:11" x14ac:dyDescent="0.3">
      <c r="B33" s="65"/>
      <c r="C33" s="77"/>
      <c r="D33" s="45" t="str">
        <f>'План счетов'!A179</f>
        <v>«1 42 120»</v>
      </c>
      <c r="E33" s="46" t="str">
        <f>'План счетов'!B179</f>
        <v xml:space="preserve">Фарсудашавии ҷамъшуда - биноҳои ғайриистиқоматӣ </v>
      </c>
      <c r="F33" s="48"/>
      <c r="G33" s="49">
        <v>25522</v>
      </c>
      <c r="H33" s="49"/>
      <c r="I33" s="49">
        <v>2500</v>
      </c>
      <c r="J33" s="49"/>
      <c r="K33" s="49">
        <f t="shared" ref="K33:K37" si="1">G33+I33-H33</f>
        <v>28022</v>
      </c>
    </row>
    <row r="34" spans="2:11" x14ac:dyDescent="0.3">
      <c r="B34" s="65"/>
      <c r="C34" s="77"/>
      <c r="D34" s="45" t="str">
        <f>'План счетов'!A180</f>
        <v>«1 42 210»</v>
      </c>
      <c r="E34" s="46" t="str">
        <f>'План счетов'!B180</f>
        <v xml:space="preserve">Фарсудашавии ҷамъшуда - иншоот </v>
      </c>
      <c r="F34" s="48"/>
      <c r="G34" s="49">
        <v>25522</v>
      </c>
      <c r="H34" s="49"/>
      <c r="I34" s="49">
        <v>2500</v>
      </c>
      <c r="J34" s="49"/>
      <c r="K34" s="49">
        <f t="shared" si="1"/>
        <v>28022</v>
      </c>
    </row>
    <row r="35" spans="2:11" x14ac:dyDescent="0.3">
      <c r="B35" s="65"/>
      <c r="C35" s="77"/>
      <c r="D35" s="45" t="str">
        <f>'План счетов'!A181</f>
        <v>«1 42 220»</v>
      </c>
      <c r="E35" s="46" t="str">
        <f>'План счетов'!B181</f>
        <v xml:space="preserve">Фарсудашавии ҷамъшуда - иншоот </v>
      </c>
      <c r="F35" s="48"/>
      <c r="G35" s="49">
        <v>2500</v>
      </c>
      <c r="H35" s="49"/>
      <c r="I35" s="49">
        <v>400</v>
      </c>
      <c r="J35" s="49"/>
      <c r="K35" s="49">
        <f t="shared" si="1"/>
        <v>2900</v>
      </c>
    </row>
    <row r="36" spans="2:11" x14ac:dyDescent="0.3">
      <c r="B36" s="65"/>
      <c r="C36" s="77"/>
      <c r="D36" s="45" t="str">
        <f>'План счетов'!A182</f>
        <v>«1 42 310»</v>
      </c>
      <c r="E36" s="46" t="str">
        <f>'План счетов'!B182</f>
        <v>Фарсудашавии ҷамъшуда - таҷҳизоти нақлиётӣ</v>
      </c>
      <c r="F36" s="48"/>
      <c r="G36" s="49">
        <v>1500</v>
      </c>
      <c r="H36" s="49"/>
      <c r="I36" s="49">
        <v>300</v>
      </c>
      <c r="J36" s="49"/>
      <c r="K36" s="49">
        <f>G36+I36-H36</f>
        <v>1800</v>
      </c>
    </row>
    <row r="37" spans="2:11" x14ac:dyDescent="0.3">
      <c r="B37" s="65"/>
      <c r="C37" s="77"/>
      <c r="D37" s="45" t="str">
        <f>'План счетов'!A183</f>
        <v>«1 42 320»</v>
      </c>
      <c r="E37" s="46" t="str">
        <f>'План счетов'!B183</f>
        <v xml:space="preserve">Фарсудашавии ҷамъшуда - дигар мошинҳо ва таҷҳизот </v>
      </c>
      <c r="F37" s="48"/>
      <c r="G37" s="49"/>
      <c r="H37" s="49"/>
      <c r="I37" s="49"/>
      <c r="J37" s="49"/>
      <c r="K37" s="49"/>
    </row>
    <row r="38" spans="2:11" ht="28.8" x14ac:dyDescent="0.3">
      <c r="B38" s="65"/>
      <c r="C38" s="77"/>
      <c r="D38" s="45" t="str">
        <f>'План счетов'!A184</f>
        <v>«1 42 400»</v>
      </c>
      <c r="E38" s="46" t="str">
        <f>'План счетов'!B184</f>
        <v>Фарсудашавии ҷамъшуда – Мебел, лавозимоти идора, асбобҳо, инвентари истеҳсолӣ ва хоҷагидорӣ</v>
      </c>
      <c r="F38" s="48"/>
      <c r="G38" s="49">
        <v>25000</v>
      </c>
      <c r="H38" s="49"/>
      <c r="I38" s="49">
        <v>1000</v>
      </c>
      <c r="J38" s="49"/>
      <c r="K38" s="49">
        <f>G38+I38-H38</f>
        <v>26000</v>
      </c>
    </row>
    <row r="39" spans="2:11" ht="15" thickBot="1" x14ac:dyDescent="0.35">
      <c r="B39" s="67"/>
      <c r="C39" s="77"/>
      <c r="D39" s="45" t="str">
        <f>'План счетов'!A185</f>
        <v>«1 42 500»</v>
      </c>
      <c r="E39" s="46" t="str">
        <f>'План счетов'!B185</f>
        <v xml:space="preserve">Фарсудашавии ҷамъшуда - ободонии замин </v>
      </c>
      <c r="F39" s="48"/>
      <c r="G39" s="49"/>
      <c r="H39" s="49"/>
      <c r="I39" s="49"/>
      <c r="J39" s="49"/>
      <c r="K39" s="49"/>
    </row>
    <row r="40" spans="2:11" ht="15" customHeight="1" x14ac:dyDescent="0.3">
      <c r="B40" s="68" t="s">
        <v>1786</v>
      </c>
      <c r="C40" s="68" t="s">
        <v>1782</v>
      </c>
      <c r="D40" s="45" t="str">
        <f>'План счетов'!A211</f>
        <v>«1 49 100»</v>
      </c>
      <c r="E40" s="46" t="str">
        <f>'План счетов'!B211</f>
        <v>Таъминоти барномавӣ</v>
      </c>
      <c r="F40" s="48"/>
      <c r="G40" s="49"/>
      <c r="H40" s="49">
        <v>15000</v>
      </c>
      <c r="I40" s="49"/>
      <c r="J40" s="49">
        <f t="shared" ref="J40" si="2">F40+H40-I40</f>
        <v>15000</v>
      </c>
      <c r="K40" s="49"/>
    </row>
    <row r="41" spans="2:11" x14ac:dyDescent="0.3">
      <c r="B41" s="69"/>
      <c r="C41" s="69"/>
      <c r="D41" s="45" t="str">
        <f>'План счетов'!A212</f>
        <v>«1 49 200»</v>
      </c>
      <c r="E41" s="46" t="str">
        <f>'План счетов'!B212</f>
        <v>Веб-сайтҳо</v>
      </c>
      <c r="F41" s="48"/>
      <c r="G41" s="49"/>
      <c r="H41" s="49"/>
      <c r="I41" s="49"/>
      <c r="J41" s="49"/>
      <c r="K41" s="49"/>
    </row>
    <row r="42" spans="2:11" ht="15" thickBot="1" x14ac:dyDescent="0.35">
      <c r="B42" s="70"/>
      <c r="C42" s="70"/>
      <c r="D42" s="45" t="str">
        <f>'План счетов'!A216</f>
        <v>«1 49 900»</v>
      </c>
      <c r="E42" s="46" t="str">
        <f>'План счетов'!B216</f>
        <v>Дигар дороиҳои ғайримоддӣ</v>
      </c>
      <c r="F42" s="48"/>
      <c r="G42" s="49"/>
      <c r="H42" s="49"/>
      <c r="I42" s="49"/>
      <c r="J42" s="49"/>
      <c r="K42" s="49"/>
    </row>
    <row r="43" spans="2:11" ht="29.4" thickBot="1" x14ac:dyDescent="0.35">
      <c r="B43" s="51" t="s">
        <v>1787</v>
      </c>
      <c r="C43" s="78" t="s">
        <v>1794</v>
      </c>
      <c r="D43" s="45" t="str">
        <f>'План счетов'!A217</f>
        <v>«1 50 000»</v>
      </c>
      <c r="E43" s="46" t="str">
        <f>'План счетов'!B217</f>
        <v xml:space="preserve">Истеҳлоки ҷамъшудаи дороиҳои ғайримоддӣ </v>
      </c>
      <c r="F43" s="48"/>
      <c r="G43" s="49"/>
      <c r="H43" s="49"/>
      <c r="I43" s="49">
        <v>1500</v>
      </c>
      <c r="J43" s="49"/>
      <c r="K43" s="49">
        <f t="shared" ref="K39:K43" si="3">G43+I43-H43</f>
        <v>1500</v>
      </c>
    </row>
    <row r="44" spans="2:11" x14ac:dyDescent="0.3">
      <c r="B44" s="60" t="s">
        <v>1789</v>
      </c>
      <c r="C44" s="80"/>
      <c r="D44" s="45" t="str">
        <f>'План счетов'!A313</f>
        <v>«2 11 110»</v>
      </c>
      <c r="E44" s="45" t="str">
        <f>'План счетов'!B313</f>
        <v>Ҳисобҳо барои пардохт</v>
      </c>
      <c r="F44" s="48"/>
      <c r="G44" s="49">
        <v>266634</v>
      </c>
      <c r="H44" s="49"/>
      <c r="I44" s="49"/>
      <c r="J44" s="49"/>
      <c r="K44" s="49">
        <f t="shared" ref="K44:K67" si="4">G44+I44-H44</f>
        <v>266634</v>
      </c>
    </row>
    <row r="45" spans="2:11" x14ac:dyDescent="0.3">
      <c r="B45" s="61"/>
      <c r="C45" s="79"/>
      <c r="D45" s="45" t="str">
        <f>'План счетов'!A314</f>
        <v>«2 11 120»</v>
      </c>
      <c r="E45" s="45" t="str">
        <f>'План счетов'!B314</f>
        <v xml:space="preserve">Пешпардохтҳои гирифташуда </v>
      </c>
      <c r="F45" s="48"/>
      <c r="G45" s="49">
        <v>10000</v>
      </c>
      <c r="H45" s="49"/>
      <c r="I45" s="49"/>
      <c r="J45" s="49"/>
      <c r="K45" s="49">
        <f t="shared" si="4"/>
        <v>10000</v>
      </c>
    </row>
    <row r="46" spans="2:11" x14ac:dyDescent="0.3">
      <c r="B46" s="61"/>
      <c r="C46" s="79"/>
      <c r="D46" s="45" t="str">
        <f>'План счетов'!A320</f>
        <v>«2 11 190»</v>
      </c>
      <c r="E46" s="45" t="str">
        <f>'План счетов'!B320</f>
        <v>Дигар ҳисобҳо барои пардохт</v>
      </c>
      <c r="F46" s="48"/>
      <c r="G46" s="49">
        <v>364444</v>
      </c>
      <c r="H46" s="49"/>
      <c r="I46" s="49"/>
      <c r="J46" s="49"/>
      <c r="K46" s="49">
        <f t="shared" si="4"/>
        <v>364444</v>
      </c>
    </row>
    <row r="47" spans="2:11" x14ac:dyDescent="0.3">
      <c r="B47" s="61"/>
      <c r="C47" s="79"/>
      <c r="D47" s="45" t="str">
        <f>'План счетов'!A331</f>
        <v>«2 11 510»</v>
      </c>
      <c r="E47" s="46" t="str">
        <f>'План счетов'!B331</f>
        <v>Музди меҳнат барои пардохт</v>
      </c>
      <c r="F47" s="48"/>
      <c r="G47" s="49"/>
      <c r="H47" s="49"/>
      <c r="I47" s="49">
        <v>250000</v>
      </c>
      <c r="J47" s="49"/>
      <c r="K47" s="49">
        <f t="shared" si="4"/>
        <v>250000</v>
      </c>
    </row>
    <row r="48" spans="2:11" x14ac:dyDescent="0.3">
      <c r="B48" s="61"/>
      <c r="C48" s="79"/>
      <c r="D48" s="45" t="str">
        <f>'План счетов'!A334</f>
        <v>«2 11 540»</v>
      </c>
      <c r="E48" s="46" t="str">
        <f>'План счетов'!B334</f>
        <v>Аъзоҳаққии иттифоқи касаба барои пардохт</v>
      </c>
      <c r="F48" s="48"/>
      <c r="G48" s="49"/>
      <c r="H48" s="49"/>
      <c r="I48" s="49">
        <v>36000</v>
      </c>
      <c r="J48" s="49"/>
      <c r="K48" s="49">
        <f t="shared" si="4"/>
        <v>36000</v>
      </c>
    </row>
    <row r="49" spans="2:11" ht="28.8" x14ac:dyDescent="0.3">
      <c r="B49" s="61"/>
      <c r="C49" s="79"/>
      <c r="D49" s="45" t="str">
        <f>'План счетов'!A335</f>
        <v>«2 11 541»</v>
      </c>
      <c r="E49" s="46" t="str">
        <f>'План счетов'!B335</f>
        <v xml:space="preserve">Аъзоҳаққии иттифоқи касаба барои пардохт - ба иттифоқи касабаи ҷумҳуриявӣ </v>
      </c>
      <c r="F49" s="48"/>
      <c r="G49" s="49"/>
      <c r="H49" s="49"/>
      <c r="I49" s="49">
        <v>22000</v>
      </c>
      <c r="J49" s="49"/>
      <c r="K49" s="49">
        <f t="shared" si="4"/>
        <v>22000</v>
      </c>
    </row>
    <row r="50" spans="2:11" ht="28.8" x14ac:dyDescent="0.3">
      <c r="B50" s="61"/>
      <c r="C50" s="79"/>
      <c r="D50" s="45" t="str">
        <f>'План счетов'!A336</f>
        <v>«2 11 542»</v>
      </c>
      <c r="E50" s="46" t="str">
        <f>'План счетов'!B336</f>
        <v xml:space="preserve">Аъзоҳаққии иттифоқи касаба барои пардохт - ба иттифоқи касабаи муассиса </v>
      </c>
      <c r="F50" s="48"/>
      <c r="G50" s="49"/>
      <c r="H50" s="49"/>
      <c r="I50" s="49">
        <v>17662</v>
      </c>
      <c r="J50" s="49"/>
      <c r="K50" s="49">
        <f t="shared" si="4"/>
        <v>17662</v>
      </c>
    </row>
    <row r="51" spans="2:11" x14ac:dyDescent="0.3">
      <c r="B51" s="61"/>
      <c r="C51" s="79"/>
      <c r="D51" s="45" t="str">
        <f>'План счетов'!A337</f>
        <v>«2 11 550»</v>
      </c>
      <c r="E51" s="46" t="str">
        <f>'План счетов'!B337</f>
        <v>Депонентҳо барои пардохт</v>
      </c>
      <c r="F51" s="48"/>
      <c r="G51" s="49"/>
      <c r="H51" s="49"/>
      <c r="I51" s="49"/>
      <c r="J51" s="49"/>
      <c r="K51" s="49"/>
    </row>
    <row r="52" spans="2:11" x14ac:dyDescent="0.3">
      <c r="B52" s="61"/>
      <c r="C52" s="79"/>
      <c r="D52" s="45" t="str">
        <f>'План счетов'!A338</f>
        <v>«2 11 560»</v>
      </c>
      <c r="E52" s="46" t="str">
        <f>'План счетов'!B338</f>
        <v>Идрорпулиҳо барои пардохт</v>
      </c>
      <c r="F52" s="48"/>
      <c r="G52" s="49"/>
      <c r="H52" s="49"/>
      <c r="I52" s="49"/>
      <c r="J52" s="49"/>
      <c r="K52" s="49"/>
    </row>
    <row r="53" spans="2:11" x14ac:dyDescent="0.3">
      <c r="B53" s="61"/>
      <c r="C53" s="79"/>
      <c r="D53" s="45" t="str">
        <f>'План счетов'!A339</f>
        <v>«2 11 570»</v>
      </c>
      <c r="E53" s="45" t="str">
        <f>'План счетов'!B339</f>
        <v>Рухсатпулиҳо барои пардохт</v>
      </c>
      <c r="F53" s="48"/>
      <c r="G53" s="49"/>
      <c r="H53" s="49"/>
      <c r="I53" s="49"/>
      <c r="J53" s="49"/>
      <c r="K53" s="49"/>
    </row>
    <row r="54" spans="2:11" x14ac:dyDescent="0.3">
      <c r="B54" s="61"/>
      <c r="C54" s="79"/>
      <c r="D54" s="45" t="str">
        <f>'План счетов'!A340</f>
        <v>«2 11 580»</v>
      </c>
      <c r="E54" s="45" t="str">
        <f>'План счетов'!B340</f>
        <v>Уњдадорињои њисобкардашуда ба шахсони њисоботдењ</v>
      </c>
      <c r="F54" s="48"/>
      <c r="G54" s="49"/>
      <c r="H54" s="49"/>
      <c r="I54" s="49"/>
      <c r="J54" s="49"/>
      <c r="K54" s="49"/>
    </row>
    <row r="55" spans="2:11" x14ac:dyDescent="0.3">
      <c r="B55" s="61"/>
      <c r="C55" s="79"/>
      <c r="D55" s="45" t="str">
        <f>'План счетов'!A341</f>
        <v>«2 11 590»</v>
      </c>
      <c r="E55" s="45" t="str">
        <f>'План счетов'!B341</f>
        <v>Дигар ӯҳдадориҳои ҳисобкардашуда</v>
      </c>
      <c r="F55" s="48"/>
      <c r="G55" s="49"/>
      <c r="H55" s="49"/>
      <c r="I55" s="49"/>
      <c r="J55" s="49"/>
      <c r="K55" s="49"/>
    </row>
    <row r="56" spans="2:11" x14ac:dyDescent="0.3">
      <c r="B56" s="61"/>
      <c r="C56" s="79"/>
      <c r="D56" s="45" t="str">
        <f>'План счетов'!A344</f>
        <v>«2 11 610»</v>
      </c>
      <c r="E56" s="45" t="str">
        <f>'План счетов'!B344</f>
        <v>Андоз аз фоида барои пардохт</v>
      </c>
      <c r="F56" s="48"/>
      <c r="G56" s="49"/>
      <c r="H56" s="49"/>
      <c r="I56" s="49"/>
      <c r="J56" s="49"/>
      <c r="K56" s="49"/>
    </row>
    <row r="57" spans="2:11" x14ac:dyDescent="0.3">
      <c r="B57" s="61"/>
      <c r="C57" s="79"/>
      <c r="D57" s="45" t="str">
        <f>'План счетов'!A345</f>
        <v>«2 11 620»</v>
      </c>
      <c r="E57" s="45" t="str">
        <f>'План счетов'!B345</f>
        <v xml:space="preserve">Андоз аз арзиши иловашуда барои пардохт </v>
      </c>
      <c r="F57" s="48"/>
      <c r="G57" s="49"/>
      <c r="H57" s="49"/>
      <c r="I57" s="49"/>
      <c r="J57" s="49"/>
      <c r="K57" s="49"/>
    </row>
    <row r="58" spans="2:11" x14ac:dyDescent="0.3">
      <c r="B58" s="61"/>
      <c r="C58" s="79"/>
      <c r="D58" s="45" t="str">
        <f>'План счетов'!A346</f>
        <v>«2 11 630»</v>
      </c>
      <c r="E58" s="45" t="str">
        <f>'План счетов'!B346</f>
        <v xml:space="preserve">Андози аксизӣ барои пардохт </v>
      </c>
      <c r="F58" s="48"/>
      <c r="G58" s="49"/>
      <c r="H58" s="49"/>
      <c r="I58" s="49"/>
      <c r="J58" s="49"/>
      <c r="K58" s="49"/>
    </row>
    <row r="59" spans="2:11" x14ac:dyDescent="0.3">
      <c r="B59" s="61"/>
      <c r="C59" s="79"/>
      <c r="D59" s="45" t="str">
        <f>'План счетов'!A347</f>
        <v>«2 11 640»</v>
      </c>
      <c r="E59" s="45" t="str">
        <f>'План счетов'!B347</f>
        <v xml:space="preserve">Андоз аз амволи гайриманқул барои пардохт </v>
      </c>
      <c r="F59" s="48"/>
      <c r="G59" s="49"/>
      <c r="H59" s="49"/>
      <c r="I59" s="49"/>
      <c r="J59" s="49"/>
      <c r="K59" s="49"/>
    </row>
    <row r="60" spans="2:11" x14ac:dyDescent="0.3">
      <c r="B60" s="61"/>
      <c r="C60" s="79"/>
      <c r="D60" s="45" t="str">
        <f>'План счетов'!A348</f>
        <v>«2 11 650»</v>
      </c>
      <c r="E60" s="45" t="str">
        <f>'План счетов'!B348</f>
        <v>Андоз аз истифодабарандагони роҳҳои автомобилгард барои пардохт</v>
      </c>
      <c r="F60" s="48"/>
      <c r="G60" s="49"/>
      <c r="H60" s="49"/>
      <c r="I60" s="49"/>
      <c r="J60" s="49"/>
      <c r="K60" s="49"/>
    </row>
    <row r="61" spans="2:11" x14ac:dyDescent="0.3">
      <c r="B61" s="61"/>
      <c r="C61" s="79"/>
      <c r="D61" s="45" t="str">
        <f>'План счетов'!A349</f>
        <v>«2 11 660»</v>
      </c>
      <c r="E61" s="45" t="str">
        <f>'План счетов'!B349</f>
        <v>Андози иҷтимоӣ аз корманд барои пардохт</v>
      </c>
      <c r="F61" s="48"/>
      <c r="G61" s="49"/>
      <c r="H61" s="49"/>
      <c r="I61" s="49"/>
      <c r="J61" s="49"/>
      <c r="K61" s="49"/>
    </row>
    <row r="62" spans="2:11" x14ac:dyDescent="0.3">
      <c r="B62" s="61"/>
      <c r="C62" s="79"/>
      <c r="D62" s="45" t="str">
        <f>'План счетов'!A350</f>
        <v>«2 11 670»</v>
      </c>
      <c r="E62" s="45" t="str">
        <f>'План счетов'!B350</f>
        <v>Андоз аз даромади шахсони воқеӣ барои пардохт</v>
      </c>
      <c r="F62" s="48"/>
      <c r="G62" s="49"/>
      <c r="H62" s="49"/>
      <c r="I62" s="49"/>
      <c r="J62" s="49"/>
      <c r="K62" s="49"/>
    </row>
    <row r="63" spans="2:11" x14ac:dyDescent="0.3">
      <c r="B63" s="61"/>
      <c r="C63" s="79"/>
      <c r="D63" s="45" t="str">
        <f>'План счетов'!A351</f>
        <v>«2 11 680»</v>
      </c>
      <c r="E63" s="45" t="str">
        <f>'План счетов'!B351</f>
        <v>Андози иҷтимоӣ аз корфармо барои пардохт</v>
      </c>
      <c r="F63" s="48"/>
      <c r="G63" s="49"/>
      <c r="H63" s="49"/>
      <c r="I63" s="49"/>
      <c r="J63" s="49"/>
      <c r="K63" s="49"/>
    </row>
    <row r="64" spans="2:11" ht="15" thickBot="1" x14ac:dyDescent="0.35">
      <c r="B64" s="62"/>
      <c r="C64" s="81"/>
      <c r="D64" s="45" t="str">
        <f>'План счетов'!A352</f>
        <v>«2 11 681»</v>
      </c>
      <c r="E64" s="45" t="str">
        <f>'План счетов'!B352</f>
        <v>1.4% шифохонагӣ-курортӣ</v>
      </c>
      <c r="F64" s="48"/>
      <c r="G64" s="49"/>
      <c r="H64" s="49"/>
      <c r="I64" s="49"/>
      <c r="J64" s="49"/>
      <c r="K64" s="49"/>
    </row>
    <row r="65" spans="2:11" x14ac:dyDescent="0.3">
      <c r="B65" s="60" t="s">
        <v>1795</v>
      </c>
      <c r="C65" s="80"/>
      <c r="D65" s="45" t="str">
        <f>'План счетов'!A464</f>
        <v>«3 10 310»</v>
      </c>
      <c r="E65" s="45" t="str">
        <f>'План счетов'!B464</f>
        <v>Саҳмияҳои оддӣ</v>
      </c>
      <c r="F65" s="48"/>
      <c r="G65" s="49"/>
      <c r="H65" s="49"/>
      <c r="I65" s="49"/>
      <c r="J65" s="49"/>
      <c r="K65" s="49"/>
    </row>
    <row r="66" spans="2:11" x14ac:dyDescent="0.3">
      <c r="B66" s="61"/>
      <c r="C66" s="79"/>
      <c r="D66" s="45" t="str">
        <f>'План счетов'!A465</f>
        <v>«3 10 320»</v>
      </c>
      <c r="E66" s="45" t="str">
        <f>'План счетов'!B465</f>
        <v xml:space="preserve">Саҳмияҳои имтиёзнок </v>
      </c>
      <c r="F66" s="48"/>
      <c r="G66" s="49"/>
      <c r="H66" s="49"/>
      <c r="I66" s="49"/>
      <c r="J66" s="49"/>
      <c r="K66" s="49"/>
    </row>
    <row r="67" spans="2:11" ht="15" thickBot="1" x14ac:dyDescent="0.35">
      <c r="B67" s="62"/>
      <c r="C67" s="81"/>
      <c r="D67" s="45" t="str">
        <f>'План счетов'!A466</f>
        <v>«3 10 330»</v>
      </c>
      <c r="E67" s="45" t="str">
        <f>'План счетов'!B466</f>
        <v xml:space="preserve">Сармояи барилова пардохтшуда </v>
      </c>
      <c r="F67" s="48"/>
      <c r="G67" s="49"/>
      <c r="H67" s="49"/>
      <c r="I67" s="49"/>
      <c r="J67" s="49"/>
      <c r="K67" s="49"/>
    </row>
    <row r="68" spans="2:11" x14ac:dyDescent="0.3">
      <c r="B68" s="60" t="s">
        <v>1783</v>
      </c>
      <c r="C68" s="80"/>
      <c r="D68" s="45" t="str">
        <f>'План счетов'!A605</f>
        <v>«4 18 310»</v>
      </c>
      <c r="E68" s="46" t="str">
        <f>'План счетов'!B605</f>
        <v xml:space="preserve">Ҷорӣ </v>
      </c>
      <c r="F68" s="48"/>
      <c r="G68" s="49"/>
      <c r="H68" s="49"/>
      <c r="I68" s="49"/>
      <c r="J68" s="49"/>
      <c r="K68" s="49"/>
    </row>
    <row r="69" spans="2:11" x14ac:dyDescent="0.3">
      <c r="B69" s="61"/>
      <c r="C69" s="79"/>
      <c r="D69" s="47" t="str">
        <f>'План счетов'!A637</f>
        <v>«4 42 300»</v>
      </c>
      <c r="E69" s="47" t="str">
        <f>'План счетов'!B637</f>
        <v xml:space="preserve">Даромадҳо аз фурӯши мол ва иҷрои кори муассисаҳои ғайрибозоргонӣ </v>
      </c>
      <c r="F69" s="48"/>
      <c r="G69" s="49"/>
      <c r="H69" s="49"/>
      <c r="I69" s="49"/>
      <c r="J69" s="49"/>
      <c r="K69" s="49"/>
    </row>
    <row r="70" spans="2:11" ht="15" thickBot="1" x14ac:dyDescent="0.35">
      <c r="B70" s="62"/>
      <c r="C70" s="81"/>
      <c r="D70" s="47" t="str">
        <f>'План счетов'!A638</f>
        <v>«4 42 310»</v>
      </c>
      <c r="E70" s="47" t="str">
        <f>'План счетов'!B638</f>
        <v>Воридот аз ташкилотҳои зертобеъ</v>
      </c>
      <c r="F70" s="48"/>
      <c r="G70" s="49"/>
      <c r="H70" s="49"/>
      <c r="I70" s="49"/>
      <c r="J70" s="49"/>
      <c r="K70" s="49"/>
    </row>
    <row r="71" spans="2:11" x14ac:dyDescent="0.3">
      <c r="B71" s="60" t="s">
        <v>1790</v>
      </c>
      <c r="C71" s="80"/>
      <c r="D71" s="45" t="str">
        <f>'План счетов'!A743</f>
        <v>«5 10 100»</v>
      </c>
      <c r="E71" s="46" t="str">
        <f>'План счетов'!B743</f>
        <v>Музди меҳнат дар шакли пулӣ</v>
      </c>
      <c r="F71" s="48"/>
      <c r="G71" s="49"/>
      <c r="H71" s="49"/>
      <c r="I71" s="49"/>
      <c r="J71" s="49"/>
      <c r="K71" s="49"/>
    </row>
    <row r="72" spans="2:11" x14ac:dyDescent="0.3">
      <c r="B72" s="61"/>
      <c r="C72" s="79"/>
      <c r="D72" s="45" t="str">
        <f>'План счетов'!A745</f>
        <v>«5 10 300»</v>
      </c>
      <c r="E72" s="46" t="str">
        <f>'План счетов'!B745</f>
        <v xml:space="preserve">Подошпулиҳо </v>
      </c>
      <c r="F72" s="48"/>
      <c r="G72" s="49"/>
      <c r="H72" s="49"/>
      <c r="I72" s="49"/>
      <c r="J72" s="49"/>
      <c r="K72" s="49"/>
    </row>
    <row r="73" spans="2:11" x14ac:dyDescent="0.3">
      <c r="B73" s="61"/>
      <c r="C73" s="79"/>
      <c r="D73" s="45" t="str">
        <f>'План счетов'!A746</f>
        <v>«5 10 400»</v>
      </c>
      <c r="E73" s="46" t="str">
        <f>'План счетов'!B746</f>
        <v>Ҳаққи заҳмат</v>
      </c>
      <c r="F73" s="48"/>
      <c r="G73" s="49"/>
      <c r="H73" s="49"/>
      <c r="I73" s="49"/>
      <c r="J73" s="49"/>
      <c r="K73" s="49"/>
    </row>
    <row r="74" spans="2:11" x14ac:dyDescent="0.3">
      <c r="B74" s="61"/>
      <c r="C74" s="79"/>
      <c r="D74" s="45" t="str">
        <f>'План счетов'!A748</f>
        <v>«5 11 100»</v>
      </c>
      <c r="E74" s="46" t="str">
        <f>'План счетов'!B748</f>
        <v>Суғуртаи иҷтимоӣ</v>
      </c>
      <c r="F74" s="48"/>
      <c r="G74" s="49"/>
      <c r="H74" s="49"/>
      <c r="I74" s="49"/>
      <c r="J74" s="49"/>
      <c r="K74" s="49"/>
    </row>
    <row r="75" spans="2:11" x14ac:dyDescent="0.3">
      <c r="B75" s="61"/>
      <c r="C75" s="79"/>
      <c r="D75" s="45" t="str">
        <f>'План счетов'!A749</f>
        <v>«5 11 200»</v>
      </c>
      <c r="E75" s="46" t="str">
        <f>'План счетов'!B749</f>
        <v>Суғуртаи тиббӣ</v>
      </c>
      <c r="F75" s="48"/>
      <c r="G75" s="49"/>
      <c r="H75" s="49"/>
      <c r="I75" s="49"/>
      <c r="J75" s="49"/>
      <c r="K75" s="49"/>
    </row>
    <row r="76" spans="2:11" x14ac:dyDescent="0.3">
      <c r="B76" s="61"/>
      <c r="C76" s="79"/>
      <c r="D76" s="45" t="str">
        <f>'План счетов'!A750</f>
        <v>«5 11 900»</v>
      </c>
      <c r="E76" s="46" t="str">
        <f>'План счетов'!B750</f>
        <v>Дигар суғуртаи давлатӣ</v>
      </c>
      <c r="F76" s="48"/>
      <c r="G76" s="49"/>
      <c r="H76" s="49"/>
      <c r="I76" s="49"/>
      <c r="J76" s="49"/>
      <c r="K76" s="49"/>
    </row>
    <row r="77" spans="2:11" x14ac:dyDescent="0.3">
      <c r="B77" s="61"/>
      <c r="C77" s="79"/>
      <c r="D77" s="47" t="str">
        <f>'План счетов'!A796</f>
        <v>«5 12 771»</v>
      </c>
      <c r="E77" s="47" t="str">
        <f>'План счетов'!B796</f>
        <v xml:space="preserve">Хизматрасониҳои алоқа </v>
      </c>
      <c r="F77" s="48"/>
      <c r="G77" s="49"/>
      <c r="H77" s="49"/>
      <c r="I77" s="49"/>
      <c r="J77" s="49"/>
      <c r="K77" s="49"/>
    </row>
    <row r="78" spans="2:11" x14ac:dyDescent="0.3">
      <c r="B78" s="61"/>
      <c r="C78" s="79"/>
      <c r="D78" s="45" t="str">
        <f>'План счетов'!A751</f>
        <v>«5 12 100»</v>
      </c>
      <c r="E78" s="46" t="str">
        <f>'План счетов'!B751</f>
        <v xml:space="preserve">Истифодаи молҳо </v>
      </c>
      <c r="F78" s="48"/>
      <c r="G78" s="49"/>
      <c r="H78" s="49"/>
      <c r="I78" s="49"/>
      <c r="J78" s="49"/>
      <c r="K78" s="49"/>
    </row>
    <row r="79" spans="2:11" x14ac:dyDescent="0.3">
      <c r="B79" s="61"/>
      <c r="C79" s="79"/>
      <c r="D79" s="45" t="str">
        <f>'План счетов'!A752</f>
        <v>«5 12 110»</v>
      </c>
      <c r="E79" s="46" t="str">
        <f>'План счетов'!B752</f>
        <v xml:space="preserve">Молҳои таҳрирӣ ва лавозимоти таълимӣ </v>
      </c>
      <c r="F79" s="48"/>
      <c r="G79" s="49"/>
      <c r="H79" s="49"/>
      <c r="I79" s="49"/>
      <c r="J79" s="49"/>
      <c r="K79" s="49"/>
    </row>
    <row r="80" spans="2:11" x14ac:dyDescent="0.3">
      <c r="B80" s="61"/>
      <c r="C80" s="79"/>
      <c r="D80" s="45" t="str">
        <f>'План счетов'!A753</f>
        <v>«5 12 120»</v>
      </c>
      <c r="E80" s="46" t="str">
        <f>'План счетов'!B753</f>
        <v xml:space="preserve">Молҳо ва инвентари хоҷагидорӣ  </v>
      </c>
      <c r="F80" s="48"/>
      <c r="G80" s="49"/>
      <c r="H80" s="49"/>
      <c r="I80" s="49"/>
      <c r="J80" s="49"/>
      <c r="K80" s="49"/>
    </row>
    <row r="81" spans="2:11" x14ac:dyDescent="0.3">
      <c r="B81" s="61"/>
      <c r="C81" s="79"/>
      <c r="D81" s="45" t="str">
        <f>'План счетов'!A754</f>
        <v>«5 12 130»</v>
      </c>
      <c r="E81" s="46" t="str">
        <f>'План счетов'!B754</f>
        <v xml:space="preserve">Масолеҳи масрафшаванда </v>
      </c>
      <c r="F81" s="48"/>
      <c r="G81" s="49"/>
      <c r="H81" s="49"/>
      <c r="I81" s="49"/>
      <c r="J81" s="49"/>
      <c r="K81" s="49"/>
    </row>
    <row r="82" spans="2:11" x14ac:dyDescent="0.3">
      <c r="B82" s="61"/>
      <c r="C82" s="79"/>
      <c r="D82" s="45" t="str">
        <f>'План счетов'!A755</f>
        <v>«5 12 140»</v>
      </c>
      <c r="E82" s="46" t="str">
        <f>'План счетов'!B755</f>
        <v xml:space="preserve">Ҷиҳоз ва либоси расмии дигар, инвентари мулоим </v>
      </c>
      <c r="F82" s="48"/>
      <c r="G82" s="49"/>
      <c r="H82" s="49"/>
      <c r="I82" s="49"/>
      <c r="J82" s="49"/>
      <c r="K82" s="49"/>
    </row>
    <row r="83" spans="2:11" x14ac:dyDescent="0.3">
      <c r="B83" s="61"/>
      <c r="C83" s="79"/>
      <c r="D83" s="45" t="str">
        <f>'План счетов'!A762</f>
        <v>«5 12 310»</v>
      </c>
      <c r="E83" s="46" t="str">
        <f>'План счетов'!B762</f>
        <v>Бензин</v>
      </c>
      <c r="F83" s="48"/>
      <c r="G83" s="49"/>
      <c r="H83" s="49"/>
      <c r="I83" s="49"/>
      <c r="J83" s="49"/>
      <c r="K83" s="49"/>
    </row>
    <row r="84" spans="2:11" x14ac:dyDescent="0.3">
      <c r="B84" s="61"/>
      <c r="C84" s="79"/>
      <c r="D84" s="45" t="str">
        <f>'План счетов'!A763</f>
        <v>«5 12 320»</v>
      </c>
      <c r="E84" s="46" t="str">
        <f>'План счетов'!B763</f>
        <v>Сухти дизелӣ (Солярка)</v>
      </c>
      <c r="F84" s="48"/>
      <c r="G84" s="49"/>
      <c r="H84" s="49"/>
      <c r="I84" s="49"/>
      <c r="J84" s="49"/>
      <c r="K84" s="49"/>
    </row>
    <row r="85" spans="2:11" x14ac:dyDescent="0.3">
      <c r="B85" s="61"/>
      <c r="C85" s="79"/>
      <c r="D85" s="45" t="str">
        <f>'План счетов'!A767</f>
        <v>«5 12 390»</v>
      </c>
      <c r="E85" s="46" t="str">
        <f>'План счетов'!B767</f>
        <v>Дигар маводи сухт</v>
      </c>
      <c r="F85" s="48"/>
      <c r="G85" s="49"/>
      <c r="H85" s="49"/>
      <c r="I85" s="49"/>
      <c r="J85" s="49"/>
      <c r="K85" s="49"/>
    </row>
    <row r="86" spans="2:11" x14ac:dyDescent="0.3">
      <c r="B86" s="61"/>
      <c r="C86" s="79"/>
      <c r="D86" s="45" t="str">
        <f>'План счетов'!A769</f>
        <v>«5 12 420»</v>
      </c>
      <c r="E86" s="46" t="str">
        <f>'План счетов'!B769</f>
        <v xml:space="preserve">Таълим ва таҷдиди таълими кормандон </v>
      </c>
      <c r="F86" s="48"/>
      <c r="G86" s="49"/>
      <c r="H86" s="49"/>
      <c r="I86" s="49"/>
      <c r="J86" s="49"/>
      <c r="K86" s="49"/>
    </row>
    <row r="87" spans="2:11" x14ac:dyDescent="0.3">
      <c r="B87" s="61"/>
      <c r="C87" s="79"/>
      <c r="D87" s="45" t="str">
        <f>'План счетов'!A770</f>
        <v>«5 12 430»</v>
      </c>
      <c r="E87" s="46" t="str">
        <f>'План счетов'!B770</f>
        <v xml:space="preserve">Хароҷоти  намояндагӣ </v>
      </c>
      <c r="F87" s="48"/>
      <c r="G87" s="49"/>
      <c r="H87" s="49"/>
      <c r="I87" s="49"/>
      <c r="J87" s="49"/>
      <c r="K87" s="49"/>
    </row>
    <row r="88" spans="2:11" ht="28.8" x14ac:dyDescent="0.3">
      <c r="B88" s="61"/>
      <c r="C88" s="79"/>
      <c r="D88" s="45" t="str">
        <f>'План счетов'!A771</f>
        <v>«5 12 440»</v>
      </c>
      <c r="E88" s="46" t="str">
        <f>'План счетов'!B771</f>
        <v xml:space="preserve">Тайёр кардани мукофотҳо, гувоҳиномаҳо, медалҳо, сиккаҳо ва хариди тӯҳфаҳо </v>
      </c>
      <c r="F88" s="48"/>
      <c r="G88" s="49"/>
      <c r="H88" s="49"/>
      <c r="I88" s="49"/>
      <c r="J88" s="49"/>
      <c r="K88" s="49"/>
    </row>
    <row r="89" spans="2:11" x14ac:dyDescent="0.3">
      <c r="B89" s="61"/>
      <c r="C89" s="79"/>
      <c r="D89" s="47" t="str">
        <f>'План счетов'!A772</f>
        <v>«5 12 450»</v>
      </c>
      <c r="E89" s="83" t="str">
        <f>'План счетов'!B772</f>
        <v xml:space="preserve"> Хароҷоти сафарҳои хизматӣ </v>
      </c>
      <c r="F89" s="48"/>
      <c r="G89" s="49"/>
      <c r="H89" s="49"/>
      <c r="I89" s="49"/>
      <c r="J89" s="49"/>
      <c r="K89" s="49"/>
    </row>
    <row r="90" spans="2:11" x14ac:dyDescent="0.3">
      <c r="B90" s="61"/>
      <c r="C90" s="79"/>
      <c r="D90" s="45" t="str">
        <f>'План счетов'!A777</f>
        <v>«5 12 510»</v>
      </c>
      <c r="E90" s="46" t="str">
        <f>'План счетов'!B777</f>
        <v xml:space="preserve">Хароҷоти таъмири ҷорӣ -Биноҳо ва иншоот </v>
      </c>
      <c r="F90" s="48"/>
      <c r="G90" s="49"/>
      <c r="H90" s="49"/>
      <c r="I90" s="49"/>
      <c r="J90" s="49"/>
      <c r="K90" s="49"/>
    </row>
    <row r="91" spans="2:11" x14ac:dyDescent="0.3">
      <c r="B91" s="61"/>
      <c r="C91" s="79"/>
      <c r="D91" s="45" t="str">
        <f>'План счетов'!A789</f>
        <v>«5 12 710»</v>
      </c>
      <c r="E91" s="46" t="str">
        <f>'План счетов'!B789</f>
        <v xml:space="preserve">Энергияи барқ </v>
      </c>
      <c r="F91" s="48"/>
      <c r="G91" s="49"/>
      <c r="H91" s="49"/>
      <c r="I91" s="49"/>
      <c r="J91" s="49"/>
      <c r="K91" s="49"/>
    </row>
    <row r="92" spans="2:11" x14ac:dyDescent="0.3">
      <c r="B92" s="61"/>
      <c r="C92" s="79"/>
      <c r="D92" s="45" t="str">
        <f>'План счетов'!A801</f>
        <v>«5 12 820»</v>
      </c>
      <c r="E92" s="46" t="str">
        <f>'План счетов'!B801</f>
        <v>Хароҷоти хизматрасонии бонк</v>
      </c>
      <c r="F92" s="48"/>
      <c r="G92" s="49"/>
      <c r="H92" s="49"/>
      <c r="I92" s="49"/>
      <c r="J92" s="49"/>
      <c r="K92" s="49"/>
    </row>
    <row r="93" spans="2:11" x14ac:dyDescent="0.3">
      <c r="B93" s="61"/>
      <c r="C93" s="79"/>
      <c r="D93" s="45" t="str">
        <f>'План счетов'!A803</f>
        <v>«5 13 100»</v>
      </c>
      <c r="E93" s="46" t="str">
        <f>'План счетов'!B803</f>
        <v xml:space="preserve">Хароҷоти истеҳлоки воситаҳои  асосӣ </v>
      </c>
      <c r="F93" s="48"/>
      <c r="G93" s="49"/>
      <c r="H93" s="49"/>
      <c r="I93" s="49"/>
      <c r="J93" s="49"/>
      <c r="K93" s="49"/>
    </row>
    <row r="94" spans="2:11" ht="15" thickBot="1" x14ac:dyDescent="0.35">
      <c r="B94" s="62"/>
      <c r="C94" s="81"/>
      <c r="D94" s="45" t="str">
        <f>'План счетов'!A805</f>
        <v>«5 13 300»</v>
      </c>
      <c r="E94" s="46" t="str">
        <f>'План счетов'!B805</f>
        <v>Хароҷоти истеҳлоки дороиҳои ғайримоддии истеҳсолнашуда</v>
      </c>
      <c r="F94" s="48"/>
      <c r="G94" s="49"/>
      <c r="H94" s="49"/>
      <c r="I94" s="49"/>
      <c r="J94" s="49"/>
      <c r="K94" s="49"/>
    </row>
    <row r="95" spans="2:11" ht="29.4" thickBot="1" x14ac:dyDescent="0.35">
      <c r="B95" s="56" t="s">
        <v>1784</v>
      </c>
      <c r="C95" s="82"/>
      <c r="D95" s="45" t="str">
        <f>'План счетов'!A963</f>
        <v>«6 10 000»</v>
      </c>
      <c r="E95" s="46" t="str">
        <f>'План счетов'!B963</f>
        <v xml:space="preserve">Маҷмӯи даромадҳо ва хароҷот </v>
      </c>
      <c r="F95" s="49"/>
      <c r="G95" s="49"/>
      <c r="H95" s="49"/>
      <c r="I95" s="49"/>
      <c r="J95" s="49"/>
      <c r="K95" s="49"/>
    </row>
    <row r="96" spans="2:11" x14ac:dyDescent="0.3">
      <c r="D96" s="84" t="s">
        <v>1796</v>
      </c>
      <c r="E96" s="84"/>
      <c r="F96" s="85">
        <f>SUM(F5:F94)</f>
        <v>617866</v>
      </c>
      <c r="G96" s="85">
        <f>SUM(G5:G94)</f>
        <v>721122</v>
      </c>
      <c r="H96" s="85">
        <f>SUM(H5:H94)</f>
        <v>216062</v>
      </c>
      <c r="I96" s="85">
        <f>SUM(I5:I94)</f>
        <v>333862</v>
      </c>
      <c r="J96" s="85">
        <f>SUM(J5:J94)</f>
        <v>833928</v>
      </c>
      <c r="K96" s="85">
        <f>SUM(K5:K94)</f>
        <v>1054984</v>
      </c>
    </row>
  </sheetData>
  <mergeCells count="14">
    <mergeCell ref="D96:E96"/>
    <mergeCell ref="B71:B94"/>
    <mergeCell ref="H2:I2"/>
    <mergeCell ref="J2:K2"/>
    <mergeCell ref="F2:G2"/>
    <mergeCell ref="C24:C31"/>
    <mergeCell ref="C32:C39"/>
    <mergeCell ref="B68:B70"/>
    <mergeCell ref="B4:B31"/>
    <mergeCell ref="B32:B39"/>
    <mergeCell ref="B65:B67"/>
    <mergeCell ref="B44:B64"/>
    <mergeCell ref="C40:C42"/>
    <mergeCell ref="B40:B4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План счетов</vt:lpstr>
      <vt:lpstr>ОСВ</vt:lpstr>
      <vt:lpstr>'План счетов'!НЯХ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2026-01-06T13:59:33Z</dcterms:modified>
</cp:coreProperties>
</file>