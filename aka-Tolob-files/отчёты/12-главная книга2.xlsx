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1-110226\документы\Отчёты\"/>
    </mc:Choice>
  </mc:AlternateContent>
  <xr:revisionPtr revIDLastSave="0" documentId="13_ncr:1_{307E4492-BB8F-4287-BAEC-FA65BC9D67FC}" xr6:coauthVersionLast="47" xr6:coauthVersionMax="47" xr10:uidLastSave="{00000000-0000-0000-0000-000000000000}"/>
  <bookViews>
    <workbookView xWindow="-108" yWindow="-108" windowWidth="23256" windowHeight="12576" tabRatio="183" xr2:uid="{00000000-000D-0000-FFFF-FFFF00000000}"/>
  </bookViews>
  <sheets>
    <sheet name="TDSheet" sheetId="1" r:id="rId1"/>
  </sheets>
  <calcPr calcId="181029"/>
</workbook>
</file>

<file path=xl/calcChain.xml><?xml version="1.0" encoding="utf-8"?>
<calcChain xmlns="http://schemas.openxmlformats.org/spreadsheetml/2006/main">
  <c r="L17" i="1" l="1"/>
  <c r="K17" i="1"/>
  <c r="F17" i="1"/>
  <c r="G17" i="1"/>
  <c r="H17" i="1"/>
  <c r="I17" i="1"/>
  <c r="J17" i="1"/>
  <c r="E17" i="1"/>
  <c r="M16" i="1"/>
  <c r="L16" i="1"/>
  <c r="K16" i="1"/>
  <c r="F16" i="1"/>
  <c r="G16" i="1"/>
  <c r="H16" i="1"/>
  <c r="I16" i="1"/>
  <c r="J16" i="1"/>
  <c r="E16" i="1"/>
  <c r="L11" i="1"/>
  <c r="F11" i="1"/>
  <c r="G11" i="1"/>
  <c r="H11" i="1"/>
  <c r="I11" i="1"/>
  <c r="J11" i="1"/>
  <c r="E11" i="1"/>
  <c r="K10" i="1"/>
  <c r="K9" i="1"/>
  <c r="K8" i="1"/>
  <c r="M8" i="1" s="1"/>
  <c r="C9" i="1" s="1"/>
  <c r="M9" i="1" s="1"/>
  <c r="C10" i="1" s="1"/>
  <c r="K11" i="1" l="1"/>
  <c r="M10" i="1"/>
</calcChain>
</file>

<file path=xl/sharedStrings.xml><?xml version="1.0" encoding="utf-8"?>
<sst xmlns="http://schemas.openxmlformats.org/spreadsheetml/2006/main" count="33" uniqueCount="18">
  <si>
    <t>Сальдо дебет</t>
  </si>
  <si>
    <t>Сальдо кредит</t>
  </si>
  <si>
    <t>ФЭУ</t>
  </si>
  <si>
    <t>Давра: 2025 с.</t>
  </si>
  <si>
    <t>Китоби асосӣ (Китоби асосӣ)</t>
  </si>
  <si>
    <t>Аз кредити счёти 1 11 254</t>
  </si>
  <si>
    <t>Аз кредити счёти 1 23 100</t>
  </si>
  <si>
    <t>Аз кредити счёти 1 14 610</t>
  </si>
  <si>
    <t>Аз кредити счёти 2 11 120</t>
  </si>
  <si>
    <t>Аз кредити счёти 2 11 510</t>
  </si>
  <si>
    <t>Аз кредити счёти 4 42 900</t>
  </si>
  <si>
    <t>Гардиши дебити</t>
  </si>
  <si>
    <t>Гардиши кредити</t>
  </si>
  <si>
    <t>Китоби асосӣ. Счет 1 11 110 "Воситаҳои пулӣ бо асъори миллӣ"</t>
  </si>
  <si>
    <t>Ҳамаги</t>
  </si>
  <si>
    <t>Давра</t>
  </si>
  <si>
    <t>Бация ба аввал Дт</t>
  </si>
  <si>
    <t>Бация ба аввал 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</si>
</sst>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19]mmmm\ yyyy;@"/>
  </numFmts>
  <fonts count="4" x14ac:knownFonts="1">
    <font>
      <sz val="8"/>
      <name val="Arial"/>
    </font>
    <font>
      <b/>
      <sz val="9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 wrapText="1"/>
    </xf>
    <xf numFmtId="0" fontId="1" fillId="0" borderId="0" xfId="0" applyFont="1" applyAlignment="1">
      <alignment horizontal="centerContinuous" wrapText="1"/>
    </xf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right" vertical="top"/>
    </xf>
    <xf numFmtId="4" fontId="3" fillId="0" borderId="3" xfId="0" applyNumberFormat="1" applyFont="1" applyBorder="1" applyAlignment="1">
      <alignment horizontal="right" vertical="top"/>
    </xf>
    <xf numFmtId="2" fontId="3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left" vertical="center" wrapText="1"/>
    </xf>
    <xf numFmtId="0" fontId="0" fillId="0" borderId="7" xfId="0" applyBorder="1" applyAlignment="1">
      <alignment horizontal="left"/>
    </xf>
    <xf numFmtId="0" fontId="1" fillId="0" borderId="1" xfId="0" applyFont="1" applyBorder="1" applyAlignment="1">
      <alignment horizontal="left"/>
    </xf>
    <xf numFmtId="165" fontId="3" fillId="0" borderId="8" xfId="0" applyNumberFormat="1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F17"/>
  <sheetViews>
    <sheetView tabSelected="1" zoomScaleNormal="100" workbookViewId="0">
      <selection activeCell="F25" sqref="F25"/>
    </sheetView>
  </sheetViews>
  <sheetFormatPr defaultColWidth="10.42578125" defaultRowHeight="11.4" customHeight="1" x14ac:dyDescent="0.2"/>
  <cols>
    <col min="1" max="1" width="1" style="1" customWidth="1"/>
    <col min="2" max="2" width="18.140625" style="1" customWidth="1"/>
    <col min="3" max="32" width="17.42578125" style="1" customWidth="1"/>
  </cols>
  <sheetData>
    <row r="1" spans="2:14" ht="15" customHeight="1" x14ac:dyDescent="0.25">
      <c r="B1" s="2" t="s">
        <v>2</v>
      </c>
    </row>
    <row r="2" spans="2:14" ht="15" customHeight="1" x14ac:dyDescent="0.25">
      <c r="B2" s="4" t="s">
        <v>4</v>
      </c>
      <c r="C2" s="3"/>
      <c r="D2" s="3"/>
      <c r="E2" s="3"/>
      <c r="F2" s="3"/>
      <c r="G2" s="3"/>
    </row>
    <row r="3" spans="2:14" ht="12" customHeight="1" x14ac:dyDescent="0.25">
      <c r="B3" s="5" t="s">
        <v>3</v>
      </c>
      <c r="C3" s="3"/>
      <c r="D3" s="3"/>
      <c r="E3" s="3"/>
      <c r="F3" s="3"/>
      <c r="G3" s="3"/>
    </row>
    <row r="4" spans="2:14" ht="12" customHeight="1" x14ac:dyDescent="0.2">
      <c r="B4" s="6"/>
    </row>
    <row r="5" spans="2:14" s="1" customFormat="1" ht="10.95" customHeight="1" x14ac:dyDescent="0.2"/>
    <row r="6" spans="2:14" s="1" customFormat="1" ht="10.95" customHeight="1" thickBot="1" x14ac:dyDescent="0.3">
      <c r="B6" s="2" t="s">
        <v>13</v>
      </c>
    </row>
    <row r="7" spans="2:14" ht="24" customHeight="1" thickBot="1" x14ac:dyDescent="0.25">
      <c r="B7" s="20" t="s">
        <v>15</v>
      </c>
      <c r="C7" s="14" t="s">
        <v>16</v>
      </c>
      <c r="D7" s="14" t="s">
        <v>17</v>
      </c>
      <c r="E7" s="14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7" t="s">
        <v>10</v>
      </c>
      <c r="K7" s="8" t="s">
        <v>11</v>
      </c>
      <c r="L7" s="8" t="s">
        <v>12</v>
      </c>
      <c r="M7" s="7" t="s">
        <v>0</v>
      </c>
      <c r="N7" s="9" t="s">
        <v>1</v>
      </c>
    </row>
    <row r="8" spans="2:14" ht="12" thickBot="1" x14ac:dyDescent="0.25">
      <c r="B8" s="19">
        <v>45717</v>
      </c>
      <c r="C8" s="17">
        <v>2500</v>
      </c>
      <c r="D8" s="17"/>
      <c r="E8" s="14">
        <v>3000</v>
      </c>
      <c r="F8" s="14">
        <v>4000</v>
      </c>
      <c r="G8" s="14">
        <v>5000</v>
      </c>
      <c r="H8" s="14"/>
      <c r="I8" s="14"/>
      <c r="J8" s="14"/>
      <c r="K8" s="8">
        <f>SUM(E8:J8)</f>
        <v>12000</v>
      </c>
      <c r="L8" s="8">
        <v>4500</v>
      </c>
      <c r="M8" s="14">
        <f>C8+K8-L8</f>
        <v>10000</v>
      </c>
      <c r="N8" s="15"/>
    </row>
    <row r="9" spans="2:14" ht="12" thickBot="1" x14ac:dyDescent="0.25">
      <c r="B9" s="16">
        <v>45748</v>
      </c>
      <c r="C9" s="17">
        <f>M8</f>
        <v>10000</v>
      </c>
      <c r="D9" s="17"/>
      <c r="E9" s="14"/>
      <c r="F9" s="14"/>
      <c r="G9" s="14"/>
      <c r="H9" s="14">
        <v>6000</v>
      </c>
      <c r="I9" s="14">
        <v>7000</v>
      </c>
      <c r="J9" s="14"/>
      <c r="K9" s="8">
        <f>SUM(E9:J9)</f>
        <v>13000</v>
      </c>
      <c r="L9" s="8">
        <v>6400</v>
      </c>
      <c r="M9" s="14">
        <f>C9+K9-L9</f>
        <v>16600</v>
      </c>
      <c r="N9" s="15"/>
    </row>
    <row r="10" spans="2:14" ht="12" thickBot="1" x14ac:dyDescent="0.25">
      <c r="B10" s="16">
        <v>45778</v>
      </c>
      <c r="C10" s="17">
        <f>M9</f>
        <v>16600</v>
      </c>
      <c r="D10" s="17"/>
      <c r="E10" s="14">
        <v>240</v>
      </c>
      <c r="F10" s="14">
        <v>2500</v>
      </c>
      <c r="G10" s="14">
        <v>3600</v>
      </c>
      <c r="H10" s="14">
        <v>7000</v>
      </c>
      <c r="I10" s="14">
        <v>7400</v>
      </c>
      <c r="J10" s="14">
        <v>8000</v>
      </c>
      <c r="K10" s="8">
        <f>SUM(E10:J10)</f>
        <v>28740</v>
      </c>
      <c r="L10" s="8">
        <v>24300</v>
      </c>
      <c r="M10" s="14">
        <f>C10+K10-L10</f>
        <v>21040</v>
      </c>
      <c r="N10" s="15"/>
    </row>
    <row r="11" spans="2:14" ht="12" customHeight="1" thickBot="1" x14ac:dyDescent="0.3">
      <c r="B11" s="18" t="s">
        <v>14</v>
      </c>
      <c r="C11" s="17"/>
      <c r="D11" s="17"/>
      <c r="E11" s="10">
        <f>SUM(E8:E10)</f>
        <v>3240</v>
      </c>
      <c r="F11" s="10">
        <f t="shared" ref="F11:J11" si="0">SUM(F8:F10)</f>
        <v>6500</v>
      </c>
      <c r="G11" s="10">
        <f t="shared" si="0"/>
        <v>8600</v>
      </c>
      <c r="H11" s="10">
        <f t="shared" si="0"/>
        <v>13000</v>
      </c>
      <c r="I11" s="10">
        <f t="shared" si="0"/>
        <v>14400</v>
      </c>
      <c r="J11" s="10">
        <f t="shared" si="0"/>
        <v>8000</v>
      </c>
      <c r="K11" s="11">
        <f>SUM(K8:K10)</f>
        <v>53740</v>
      </c>
      <c r="L11" s="11">
        <f>SUM(L8:L10)</f>
        <v>35200</v>
      </c>
      <c r="M11" s="12"/>
      <c r="N11" s="13"/>
    </row>
    <row r="12" spans="2:14" s="1" customFormat="1" ht="10.95" customHeight="1" x14ac:dyDescent="0.2"/>
    <row r="13" spans="2:14" s="1" customFormat="1" ht="10.95" customHeight="1" x14ac:dyDescent="0.2"/>
    <row r="14" spans="2:14" ht="11.4" customHeight="1" thickBot="1" x14ac:dyDescent="0.3">
      <c r="B14" s="2" t="s">
        <v>13</v>
      </c>
    </row>
    <row r="15" spans="2:14" ht="26.4" customHeight="1" thickBot="1" x14ac:dyDescent="0.25">
      <c r="B15" s="20" t="s">
        <v>15</v>
      </c>
      <c r="C15" s="14" t="s">
        <v>16</v>
      </c>
      <c r="D15" s="14" t="s">
        <v>17</v>
      </c>
      <c r="E15" s="14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10</v>
      </c>
      <c r="K15" s="8" t="s">
        <v>11</v>
      </c>
      <c r="L15" s="8" t="s">
        <v>12</v>
      </c>
      <c r="M15" s="7" t="s">
        <v>0</v>
      </c>
      <c r="N15" s="9" t="s">
        <v>1</v>
      </c>
    </row>
    <row r="16" spans="2:14" ht="11.4" customHeight="1" thickBot="1" x14ac:dyDescent="0.25">
      <c r="B16" s="19">
        <v>45778</v>
      </c>
      <c r="C16" s="17">
        <v>16600</v>
      </c>
      <c r="D16" s="17"/>
      <c r="E16" s="14">
        <f>E10</f>
        <v>240</v>
      </c>
      <c r="F16" s="14">
        <f t="shared" ref="F16:J16" si="1">F10</f>
        <v>2500</v>
      </c>
      <c r="G16" s="14">
        <f t="shared" si="1"/>
        <v>3600</v>
      </c>
      <c r="H16" s="14">
        <f t="shared" si="1"/>
        <v>7000</v>
      </c>
      <c r="I16" s="14">
        <f t="shared" si="1"/>
        <v>7400</v>
      </c>
      <c r="J16" s="14">
        <f t="shared" si="1"/>
        <v>8000</v>
      </c>
      <c r="K16" s="8">
        <f>SUM(E16:J16)</f>
        <v>28740</v>
      </c>
      <c r="L16" s="8">
        <f>L10</f>
        <v>24300</v>
      </c>
      <c r="M16" s="14">
        <f>C16+K16-L16</f>
        <v>21040</v>
      </c>
      <c r="N16" s="15"/>
    </row>
    <row r="17" spans="2:14" ht="11.4" customHeight="1" thickBot="1" x14ac:dyDescent="0.3">
      <c r="B17" s="18" t="s">
        <v>14</v>
      </c>
      <c r="C17" s="17"/>
      <c r="D17" s="17"/>
      <c r="E17" s="10">
        <f>SUM(E16:E16)</f>
        <v>240</v>
      </c>
      <c r="F17" s="10">
        <f t="shared" ref="F17:J17" si="2">SUM(F16:F16)</f>
        <v>2500</v>
      </c>
      <c r="G17" s="10">
        <f t="shared" si="2"/>
        <v>3600</v>
      </c>
      <c r="H17" s="10">
        <f t="shared" si="2"/>
        <v>7000</v>
      </c>
      <c r="I17" s="10">
        <f t="shared" si="2"/>
        <v>7400</v>
      </c>
      <c r="J17" s="10">
        <f t="shared" si="2"/>
        <v>8000</v>
      </c>
      <c r="K17" s="11">
        <f>SUM(K16:K16)</f>
        <v>28740</v>
      </c>
      <c r="L17" s="11">
        <f>SUM(L16:L16)</f>
        <v>24300</v>
      </c>
      <c r="M17" s="12"/>
      <c r="N17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Носиров Толиб Саидахмадович</cp:lastModifiedBy>
  <dcterms:modified xsi:type="dcterms:W3CDTF">2026-03-05T10:00:23Z</dcterms:modified>
</cp:coreProperties>
</file>