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-130126\документы\Отчёты\"/>
    </mc:Choice>
  </mc:AlternateContent>
  <bookViews>
    <workbookView xWindow="-108" yWindow="-108" windowWidth="23256" windowHeight="12576" tabRatio="0"/>
  </bookViews>
  <sheets>
    <sheet name="TDSheet" sheetId="1" r:id="rId1"/>
  </sheets>
  <calcPr calcId="162913"/>
</workbook>
</file>

<file path=xl/calcChain.xml><?xml version="1.0" encoding="utf-8"?>
<calcChain xmlns="http://schemas.openxmlformats.org/spreadsheetml/2006/main">
  <c r="M205" i="1" l="1"/>
  <c r="E155" i="1"/>
  <c r="C155" i="1"/>
  <c r="D155" i="1"/>
  <c r="C150" i="1"/>
  <c r="D150" i="1"/>
  <c r="J205" i="1"/>
  <c r="I205" i="1"/>
  <c r="G205" i="1"/>
  <c r="E205" i="1"/>
  <c r="D205" i="1"/>
  <c r="C205" i="1"/>
  <c r="D192" i="1"/>
  <c r="E192" i="1" s="1"/>
  <c r="E187" i="1"/>
  <c r="C187" i="1"/>
  <c r="D187" i="1"/>
  <c r="F183" i="1"/>
  <c r="E183" i="1"/>
  <c r="D183" i="1"/>
  <c r="C183" i="1"/>
  <c r="G183" i="1"/>
  <c r="H183" i="1" s="1"/>
  <c r="H205" i="1" s="1"/>
  <c r="D173" i="1"/>
  <c r="E173" i="1" s="1"/>
  <c r="F205" i="1" s="1"/>
  <c r="D197" i="1" l="1"/>
  <c r="E197" i="1" s="1"/>
  <c r="K205" i="1" s="1"/>
  <c r="L205" i="1" s="1"/>
  <c r="D130" i="1"/>
  <c r="H110" i="1"/>
  <c r="E105" i="1"/>
  <c r="D101" i="1"/>
  <c r="G96" i="1"/>
  <c r="F54" i="1"/>
  <c r="F45" i="1"/>
  <c r="F41" i="1"/>
  <c r="F32" i="1"/>
  <c r="D37" i="1"/>
  <c r="E23" i="1"/>
  <c r="H13" i="1"/>
</calcChain>
</file>

<file path=xl/sharedStrings.xml><?xml version="1.0" encoding="utf-8"?>
<sst xmlns="http://schemas.openxmlformats.org/spreadsheetml/2006/main" count="340" uniqueCount="86">
  <si>
    <t>Сальдо дебет</t>
  </si>
  <si>
    <t>Сальдо кредит</t>
  </si>
  <si>
    <t>ФЭУ</t>
  </si>
  <si>
    <t>Давра: 2025 с.</t>
  </si>
  <si>
    <t>Китоби асосӣ (Китоби асосӣ)</t>
  </si>
  <si>
    <t>Аз кредити счёти 1 11 254</t>
  </si>
  <si>
    <t>Аз кредити счёти 1 23 100</t>
  </si>
  <si>
    <t>Аз кредити счёти 1 14 610</t>
  </si>
  <si>
    <t>Аз кредити счёти 2 11 120</t>
  </si>
  <si>
    <t>Аз кредити счёти 2 11 510</t>
  </si>
  <si>
    <t>Аз кредити счёти 4 42 900</t>
  </si>
  <si>
    <t>Аз кредити счёти 1 11 110</t>
  </si>
  <si>
    <t>Аз кредити счёти 1 15 100</t>
  </si>
  <si>
    <t>Аз кредити счёти 22040</t>
  </si>
  <si>
    <t>Гардиши дебити</t>
  </si>
  <si>
    <t>Гардиши кредити</t>
  </si>
  <si>
    <t>Аз кредити счёти 2 11 110</t>
  </si>
  <si>
    <t>Китоби асосӣ. Счет 1 11 110 "Воситаҳои пулӣ бо асъори миллӣ"</t>
  </si>
  <si>
    <t>Китоби асосӣ. Счет 1 11 254 "ҲЯХ-и ҳисобҳои шахсии маблағҳои буҷетии БМ ташкилотҳои буҷетӣ  бо асъори миллӣ"</t>
  </si>
  <si>
    <t>Китоби асосӣ. Счет 1 15 100 "Пешпардохтҳои додашуда барои молхо"</t>
  </si>
  <si>
    <t>Китоби асосӣ. Счет 1 31 120 "Захираҳои озуқаворӣ "</t>
  </si>
  <si>
    <t>Китоби асосӣ. Счет 1 31 210 "Молҳои канселярӣ ва асбобҳои таълимӣ"</t>
  </si>
  <si>
    <t>Аз кредити счёти 1 31 120</t>
  </si>
  <si>
    <t>Китоби асосӣ. Счет 1 31 211 "Молҳои хоҷагӣ ва инвентар"</t>
  </si>
  <si>
    <t>Аз кредити счёти 1 31 210</t>
  </si>
  <si>
    <t>Китоби асосӣ. Счет 1 31 216 "Сўзишворӣ-равғанҳои молиданӣ"</t>
  </si>
  <si>
    <t>Аз кредити счёти 1 31 216</t>
  </si>
  <si>
    <t>Китоби асосӣ. Счет 1 31 230 "Маҳсулоти тайёр "</t>
  </si>
  <si>
    <t>Аз кредити счёти 1 31 230</t>
  </si>
  <si>
    <t>Китоби асосӣ. Счет 1 41 210 "Иншоот "</t>
  </si>
  <si>
    <t>Китоби асосӣ. Счет 1 41 310 "Таҷҳизоти нақлиётӣ "</t>
  </si>
  <si>
    <t>Аз кредити счёти 1 41 310</t>
  </si>
  <si>
    <t>Китоби асосӣ. Счет 1 41 320 "Дигар мошинҳо ва таҷҳизот"</t>
  </si>
  <si>
    <t>Китоби асосӣ. Счет 1 41 400 "Мебел, лавозимоти идора,асбобҳо, инвентари истеҳсолӣ ва хоҷагидорӣ"</t>
  </si>
  <si>
    <t>Аз кредити счёти 1 41 400</t>
  </si>
  <si>
    <t>Китоби асосӣ. Счет 1 42 320 "Фарсудашавии ҷамъшуда - дигар мошинҳо ва таҷҳизот "</t>
  </si>
  <si>
    <t>Китоби асосӣ. Счет 1 42 310 "Фарсудашавии ҷамъшуда - таҷҳизоти нақлиётӣ"</t>
  </si>
  <si>
    <t>Китоби асосӣ. Счет 1 42 400 "Фарсудашавии ҷамъшуда – Мебел, лавозимоти идора, асбобҳо, инвентари истеҳсолӣ ва хоҷагидорӣ"</t>
  </si>
  <si>
    <t>Китоби асосӣ. Счет 1 42 210 "Фарсудашавии ҷамъшуда - иншоот "</t>
  </si>
  <si>
    <t>Китоби асосӣ. Счет 1 49 100 "Таъминоти барномавӣ"</t>
  </si>
  <si>
    <t>Китоби асосӣ. Счет 1 50 000 "Истеҳлоки ҷамъшудаи дороиҳои ғайримоддӣ "</t>
  </si>
  <si>
    <t>Китоби асосӣ. Счет 1 14 610 "Қарздориҳои дебитории шахсҳои ҳисобдеҳ"</t>
  </si>
  <si>
    <t>Китоби асосӣ. Счет 2 11 110 "Ҳисобҳо барои пардохт"</t>
  </si>
  <si>
    <t>Ҳамаги</t>
  </si>
  <si>
    <t>Китоби асосӣ. Счет 2 11 120 "Пешпардохтҳои гирифташуда "</t>
  </si>
  <si>
    <t>Китоби асосӣ. Счет 2 11 190  "Дигар ҳисобҳо барои пардохт"</t>
  </si>
  <si>
    <t>Китоби асосӣ. Счет 2 11 510 "Музди меҳнат барои пардохт"</t>
  </si>
  <si>
    <t>Аз кредити счёти 2 11 540</t>
  </si>
  <si>
    <t>Аз кредити счёти 2 11 543</t>
  </si>
  <si>
    <t>Аз кредити счёти 2 11 190</t>
  </si>
  <si>
    <t>Китоби асосӣ. Счет 2 11 660 "Андози иҷтимоӣ аз корманд барои пардохт"</t>
  </si>
  <si>
    <t>Китоби асосӣ. Счет 2 11 670 "Андоз аз даромади шахсони воқеӣ барои пардохт"</t>
  </si>
  <si>
    <t>Китоби асосӣ. Счет 2 11 680 "Андози иҷтимоӣ аз корфармо барои пардохт"</t>
  </si>
  <si>
    <t>Китоби асосӣ. Счет 2 11 542 "Аъзоҳаққии иттифоқи касаба барои пардохт - ба иттифоқи касабаи муассиса "</t>
  </si>
  <si>
    <t>Китоби асосӣ. Счет 2 11 580 "Уҳдадориҳои ҳисобкардашуда ба шахсони ҳисоботдењ"</t>
  </si>
  <si>
    <t>Китоби асосӣ. Счет 2 11 190 "Дигар ҳисобҳо барои пардохт"</t>
  </si>
  <si>
    <t>Китоби асосӣ. Счет 2 11 690 "Дигар андозҳо барои пардохт"</t>
  </si>
  <si>
    <t>Китоби асосӣ. Счет 4 42 900 "Дигар даромадҳо аз фурӯши мол, иҷрои кор ва хизматрасонӣ"</t>
  </si>
  <si>
    <t>Китоби асосӣ. Счет 5 10 100 "Музди меҳнат дар шакли пулӣ"</t>
  </si>
  <si>
    <t>Китоби асосӣ. Счет 5 11 100 "Сугуртаи ичтимои"</t>
  </si>
  <si>
    <t>Китоби асосӣ. Счет 5 12 410 "Хароҷоти иҷора "</t>
  </si>
  <si>
    <t>Китоби асосӣ. Счет 5 12 773 "Хизматрасониҳои почта "</t>
  </si>
  <si>
    <t>Китоби асосӣ. Счет 5 12 130 "Масолеҳи масрафшаванда "</t>
  </si>
  <si>
    <t>Китоби асосӣ. Счет 5 12 450 " Хароҷоти сафарҳои хизматӣ "</t>
  </si>
  <si>
    <t>Китоби асосӣ. Счет 5 12 820 "Хароҷоти хизматрасонии бонк"</t>
  </si>
  <si>
    <t>Аз кредити счёти 2 11 680</t>
  </si>
  <si>
    <t>Аз кредити счёти 1 42 210</t>
  </si>
  <si>
    <t>Аз кредити счёти 1 42 310</t>
  </si>
  <si>
    <t>Аз кредити счёти 1 42 320</t>
  </si>
  <si>
    <t>Аз кредити счёти 1 42 400</t>
  </si>
  <si>
    <t>Китоби асосӣ. Счет 4 18 310 "Выручка от обмена товаров и услуг"</t>
  </si>
  <si>
    <t>Китоби асосӣ. Счет 3 60 100 "Нераспределенная прибыль отчетного года"</t>
  </si>
  <si>
    <t>Аз кредити счёти 6 10 000</t>
  </si>
  <si>
    <t>Китоби асосӣ. Счет 6 10 000 "Свод доходов и расходов"</t>
  </si>
  <si>
    <t>Китоби асосӣ. Счет 5 13 100 "Хароҷоти истеҳлоки воситаҳои  асосӣ "</t>
  </si>
  <si>
    <t>Китоби асосӣ. Счет 5 13 300 "Хароҷоти истеҳлоки дороиҳои ғайримоддии истеҳсолнашуда "</t>
  </si>
  <si>
    <t>Аз кредити счёти 1 50 000</t>
  </si>
  <si>
    <t>Аз кредити счёти 5 10 100</t>
  </si>
  <si>
    <t>Аз кредити счёти 5 11 100</t>
  </si>
  <si>
    <t>Аз кредити счёти 5 12 410</t>
  </si>
  <si>
    <t>Аз кредити счёти 5 12 773</t>
  </si>
  <si>
    <t>Аз кредити счёти 5 12 130</t>
  </si>
  <si>
    <t>Аз кредити счёти 5 13 100</t>
  </si>
  <si>
    <t>Аз кредити счёти 5 13 300</t>
  </si>
  <si>
    <t>Аз кредити счёти 5 12 450</t>
  </si>
  <si>
    <t>Аз кредити счёти 5 12 820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</si>
</sst>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8"/>
      <name val="Arial"/>
    </font>
    <font>
      <b/>
      <sz val="9"/>
      <name val="Arial"/>
      <family val="2"/>
    </font>
    <font>
      <b/>
      <sz val="1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 wrapText="1"/>
    </xf>
    <xf numFmtId="0" fontId="1" fillId="0" borderId="0" xfId="0" applyFont="1" applyAlignment="1">
      <alignment horizontal="centerContinuous" wrapText="1"/>
    </xf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/>
    </xf>
    <xf numFmtId="4" fontId="3" fillId="0" borderId="6" xfId="0" applyNumberFormat="1" applyFont="1" applyBorder="1" applyAlignment="1">
      <alignment horizontal="right" vertical="top"/>
    </xf>
    <xf numFmtId="4" fontId="3" fillId="0" borderId="3" xfId="0" applyNumberFormat="1" applyFont="1" applyBorder="1" applyAlignment="1">
      <alignment horizontal="right" vertical="top"/>
    </xf>
    <xf numFmtId="2" fontId="3" fillId="0" borderId="6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0" fontId="3" fillId="0" borderId="3" xfId="0" applyFont="1" applyBorder="1" applyAlignment="1">
      <alignment horizontal="left" vertical="top"/>
    </xf>
    <xf numFmtId="4" fontId="3" fillId="0" borderId="7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2" fontId="3" fillId="0" borderId="3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left"/>
    </xf>
    <xf numFmtId="4" fontId="3" fillId="0" borderId="0" xfId="0" applyNumberFormat="1" applyFont="1" applyBorder="1" applyAlignment="1">
      <alignment horizontal="right" vertical="top"/>
    </xf>
    <xf numFmtId="0" fontId="3" fillId="0" borderId="0" xfId="0" applyFont="1" applyBorder="1" applyAlignment="1">
      <alignment horizontal="right" vertical="top"/>
    </xf>
    <xf numFmtId="2" fontId="3" fillId="0" borderId="0" xfId="0" applyNumberFormat="1" applyFont="1" applyBorder="1" applyAlignment="1">
      <alignment horizontal="right" vertical="top"/>
    </xf>
    <xf numFmtId="0" fontId="1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3" fillId="0" borderId="8" xfId="0" applyFont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3" fillId="0" borderId="0" xfId="0" applyFont="1" applyBorder="1" applyAlignment="1">
      <alignment horizontal="center" vertical="center" wrapText="1"/>
    </xf>
    <xf numFmtId="4" fontId="3" fillId="0" borderId="9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4" fontId="3" fillId="0" borderId="14" xfId="0" applyNumberFormat="1" applyFont="1" applyBorder="1" applyAlignment="1">
      <alignment horizontal="right" vertical="top"/>
    </xf>
    <xf numFmtId="4" fontId="3" fillId="0" borderId="15" xfId="0" applyNumberFormat="1" applyFont="1" applyBorder="1" applyAlignment="1">
      <alignment horizontal="right" vertical="top"/>
    </xf>
    <xf numFmtId="0" fontId="3" fillId="0" borderId="16" xfId="0" applyFont="1" applyBorder="1" applyAlignment="1">
      <alignment horizontal="right" vertical="top"/>
    </xf>
    <xf numFmtId="0" fontId="3" fillId="0" borderId="17" xfId="0" applyFont="1" applyBorder="1" applyAlignment="1">
      <alignment horizontal="right" vertical="top"/>
    </xf>
    <xf numFmtId="0" fontId="3" fillId="0" borderId="4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right" vertical="top"/>
    </xf>
    <xf numFmtId="0" fontId="3" fillId="0" borderId="3" xfId="0" applyFont="1" applyFill="1" applyBorder="1" applyAlignment="1">
      <alignment horizontal="center" vertical="center" wrapText="1"/>
    </xf>
    <xf numFmtId="4" fontId="3" fillId="0" borderId="3" xfId="0" applyNumberFormat="1" applyFont="1" applyFill="1" applyBorder="1" applyAlignment="1">
      <alignment horizontal="right" vertical="top"/>
    </xf>
    <xf numFmtId="0" fontId="3" fillId="0" borderId="2" xfId="0" applyFont="1" applyFill="1" applyBorder="1" applyAlignment="1">
      <alignment horizontal="center" vertical="center" wrapText="1"/>
    </xf>
    <xf numFmtId="4" fontId="3" fillId="0" borderId="6" xfId="0" applyNumberFormat="1" applyFont="1" applyFill="1" applyBorder="1" applyAlignment="1">
      <alignment horizontal="right" vertical="top"/>
    </xf>
    <xf numFmtId="4" fontId="3" fillId="0" borderId="7" xfId="0" applyNumberFormat="1" applyFont="1" applyFill="1" applyBorder="1" applyAlignment="1">
      <alignment horizontal="right" vertical="top"/>
    </xf>
    <xf numFmtId="4" fontId="3" fillId="0" borderId="0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F209"/>
  <sheetViews>
    <sheetView tabSelected="1" topLeftCell="A163" zoomScaleNormal="100" workbookViewId="0">
      <selection activeCell="K93" sqref="K93"/>
    </sheetView>
  </sheetViews>
  <sheetFormatPr defaultColWidth="10.42578125" defaultRowHeight="11.4" customHeight="1" x14ac:dyDescent="0.2"/>
  <cols>
    <col min="1" max="1" width="1" style="1" customWidth="1"/>
    <col min="2" max="2" width="18.140625" style="1" customWidth="1"/>
    <col min="3" max="32" width="17.42578125" style="1" customWidth="1"/>
  </cols>
  <sheetData>
    <row r="1" spans="2:12" ht="15" customHeight="1" x14ac:dyDescent="0.25">
      <c r="B1" s="2" t="s">
        <v>2</v>
      </c>
    </row>
    <row r="2" spans="2:12" ht="15" customHeight="1" x14ac:dyDescent="0.25">
      <c r="B2" s="4" t="s">
        <v>4</v>
      </c>
      <c r="C2" s="3"/>
      <c r="D2" s="3"/>
      <c r="E2" s="3"/>
      <c r="F2" s="3"/>
      <c r="G2" s="3"/>
    </row>
    <row r="3" spans="2:12" ht="12" customHeight="1" x14ac:dyDescent="0.25">
      <c r="B3" s="5" t="s">
        <v>3</v>
      </c>
      <c r="C3" s="3"/>
      <c r="D3" s="3"/>
      <c r="E3" s="3"/>
      <c r="F3" s="3"/>
      <c r="G3" s="3"/>
    </row>
    <row r="4" spans="2:12" ht="12" customHeight="1" x14ac:dyDescent="0.2">
      <c r="B4" s="6"/>
    </row>
    <row r="5" spans="2:12" s="1" customFormat="1" ht="10.95" customHeight="1" x14ac:dyDescent="0.2"/>
    <row r="6" spans="2:12" s="1" customFormat="1" ht="10.95" customHeight="1" x14ac:dyDescent="0.25">
      <c r="B6" s="2" t="s">
        <v>17</v>
      </c>
    </row>
    <row r="7" spans="2:12" ht="24" customHeight="1" x14ac:dyDescent="0.2">
      <c r="B7" s="7"/>
      <c r="C7" s="8" t="s">
        <v>5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10</v>
      </c>
      <c r="I7" s="9" t="s">
        <v>14</v>
      </c>
      <c r="J7" s="9" t="s">
        <v>15</v>
      </c>
      <c r="K7" s="8" t="s">
        <v>0</v>
      </c>
      <c r="L7" s="10" t="s">
        <v>1</v>
      </c>
    </row>
    <row r="8" spans="2:12" ht="12" customHeight="1" x14ac:dyDescent="0.25">
      <c r="B8" s="11" t="s">
        <v>43</v>
      </c>
      <c r="C8" s="12">
        <v>10261250</v>
      </c>
      <c r="D8" s="12">
        <v>711499.13</v>
      </c>
      <c r="E8" s="12">
        <v>1201439.79</v>
      </c>
      <c r="F8" s="12">
        <v>224535.65</v>
      </c>
      <c r="G8" s="12">
        <v>4853.97</v>
      </c>
      <c r="H8" s="12">
        <v>4500</v>
      </c>
      <c r="I8" s="13">
        <v>12408078.539999999</v>
      </c>
      <c r="J8" s="13">
        <v>12408112.699999999</v>
      </c>
      <c r="K8" s="14">
        <v>438.43</v>
      </c>
      <c r="L8" s="15"/>
    </row>
    <row r="9" spans="2:12" s="1" customFormat="1" ht="10.95" customHeight="1" x14ac:dyDescent="0.2"/>
    <row r="10" spans="2:12" s="1" customFormat="1" ht="10.95" customHeight="1" x14ac:dyDescent="0.2"/>
    <row r="11" spans="2:12" s="1" customFormat="1" ht="10.95" customHeight="1" thickBot="1" x14ac:dyDescent="0.3">
      <c r="B11" s="2" t="s">
        <v>18</v>
      </c>
    </row>
    <row r="12" spans="2:12" ht="24" customHeight="1" thickBot="1" x14ac:dyDescent="0.25">
      <c r="B12" s="7"/>
      <c r="C12" s="8" t="s">
        <v>11</v>
      </c>
      <c r="D12" s="8" t="s">
        <v>5</v>
      </c>
      <c r="E12" s="8" t="s">
        <v>6</v>
      </c>
      <c r="F12" s="8" t="s">
        <v>12</v>
      </c>
      <c r="G12" s="8" t="s">
        <v>8</v>
      </c>
      <c r="H12" s="9" t="s">
        <v>14</v>
      </c>
      <c r="I12" s="9" t="s">
        <v>15</v>
      </c>
      <c r="J12" s="8" t="s">
        <v>0</v>
      </c>
      <c r="K12" s="10" t="s">
        <v>1</v>
      </c>
    </row>
    <row r="13" spans="2:12" ht="12" customHeight="1" thickBot="1" x14ac:dyDescent="0.3">
      <c r="B13" s="11" t="s">
        <v>43</v>
      </c>
      <c r="C13" s="12">
        <v>884235</v>
      </c>
      <c r="D13" s="12">
        <v>62000</v>
      </c>
      <c r="E13" s="12">
        <v>14124127.369999999</v>
      </c>
      <c r="F13" s="12">
        <v>45000</v>
      </c>
      <c r="G13" s="12">
        <v>1989853.21</v>
      </c>
      <c r="H13" s="13">
        <f>SUM(C13:G13)</f>
        <v>17105215.579999998</v>
      </c>
      <c r="I13" s="13">
        <v>50567482.93</v>
      </c>
      <c r="J13" s="12">
        <v>294758.08</v>
      </c>
      <c r="K13" s="15"/>
    </row>
    <row r="14" spans="2:12" s="1" customFormat="1" ht="10.95" customHeight="1" x14ac:dyDescent="0.2"/>
    <row r="15" spans="2:12" s="1" customFormat="1" ht="10.95" customHeight="1" x14ac:dyDescent="0.2"/>
    <row r="16" spans="2:12" s="1" customFormat="1" ht="10.95" customHeight="1" thickBot="1" x14ac:dyDescent="0.3">
      <c r="B16" s="2" t="s">
        <v>19</v>
      </c>
    </row>
    <row r="17" spans="2:10" ht="24" customHeight="1" thickBot="1" x14ac:dyDescent="0.25">
      <c r="B17" s="7"/>
      <c r="C17" s="8" t="s">
        <v>11</v>
      </c>
      <c r="D17" s="8" t="s">
        <v>5</v>
      </c>
      <c r="E17" s="8" t="s">
        <v>7</v>
      </c>
      <c r="F17" s="8" t="s">
        <v>16</v>
      </c>
      <c r="G17" s="9" t="s">
        <v>14</v>
      </c>
      <c r="H17" s="9" t="s">
        <v>15</v>
      </c>
      <c r="I17" s="8" t="s">
        <v>0</v>
      </c>
      <c r="J17" s="10" t="s">
        <v>1</v>
      </c>
    </row>
    <row r="18" spans="2:10" ht="12" customHeight="1" thickBot="1" x14ac:dyDescent="0.3">
      <c r="B18" s="11" t="s">
        <v>43</v>
      </c>
      <c r="C18" s="12">
        <v>1857506.21</v>
      </c>
      <c r="D18" s="12">
        <v>17640109.739999998</v>
      </c>
      <c r="E18" s="12">
        <v>1768929.42</v>
      </c>
      <c r="F18" s="12">
        <v>818896.34</v>
      </c>
      <c r="G18" s="13">
        <v>23232898.969999999</v>
      </c>
      <c r="H18" s="13">
        <v>19802142.66</v>
      </c>
      <c r="I18" s="12">
        <v>13339832.380000001</v>
      </c>
      <c r="J18" s="15"/>
    </row>
    <row r="19" spans="2:10" ht="12" customHeight="1" x14ac:dyDescent="0.25">
      <c r="B19" s="21"/>
      <c r="C19" s="22"/>
      <c r="D19" s="22"/>
      <c r="E19" s="22"/>
      <c r="F19" s="22"/>
      <c r="G19" s="22"/>
      <c r="H19" s="22"/>
      <c r="I19" s="22"/>
      <c r="J19" s="23"/>
    </row>
    <row r="20" spans="2:10" s="1" customFormat="1" ht="10.95" customHeight="1" x14ac:dyDescent="0.2"/>
    <row r="21" spans="2:10" s="1" customFormat="1" ht="10.95" customHeight="1" thickBot="1" x14ac:dyDescent="0.3">
      <c r="B21" s="2" t="s">
        <v>41</v>
      </c>
    </row>
    <row r="22" spans="2:10" ht="24" customHeight="1" thickBot="1" x14ac:dyDescent="0.25">
      <c r="B22" s="7"/>
      <c r="C22" s="8" t="s">
        <v>11</v>
      </c>
      <c r="D22" s="8" t="s">
        <v>5</v>
      </c>
      <c r="E22" s="9" t="s">
        <v>14</v>
      </c>
      <c r="F22" s="9" t="s">
        <v>15</v>
      </c>
      <c r="G22" s="8" t="s">
        <v>0</v>
      </c>
      <c r="H22" s="10" t="s">
        <v>1</v>
      </c>
    </row>
    <row r="23" spans="2:10" ht="12" customHeight="1" thickBot="1" x14ac:dyDescent="0.3">
      <c r="B23" s="11" t="s">
        <v>43</v>
      </c>
      <c r="C23" s="12">
        <v>2012824.26</v>
      </c>
      <c r="D23" s="12">
        <v>1997296</v>
      </c>
      <c r="E23" s="13">
        <f>SUM(C23:D23)</f>
        <v>4010120.26</v>
      </c>
      <c r="F23" s="13">
        <v>4000000</v>
      </c>
      <c r="G23" s="12">
        <v>565520.47</v>
      </c>
      <c r="H23" s="15"/>
    </row>
    <row r="24" spans="2:10" s="1" customFormat="1" ht="10.95" customHeight="1" x14ac:dyDescent="0.2"/>
    <row r="25" spans="2:10" s="1" customFormat="1" ht="10.95" customHeight="1" x14ac:dyDescent="0.2"/>
    <row r="26" spans="2:10" s="1" customFormat="1" ht="10.95" customHeight="1" x14ac:dyDescent="0.25">
      <c r="B26" s="2" t="s">
        <v>20</v>
      </c>
    </row>
    <row r="27" spans="2:10" ht="24" customHeight="1" x14ac:dyDescent="0.2">
      <c r="B27" s="7"/>
      <c r="C27" s="8" t="s">
        <v>22</v>
      </c>
      <c r="D27" s="8" t="s">
        <v>16</v>
      </c>
      <c r="E27" s="9" t="s">
        <v>14</v>
      </c>
      <c r="F27" s="9" t="s">
        <v>15</v>
      </c>
      <c r="G27" s="8" t="s">
        <v>0</v>
      </c>
      <c r="H27" s="10" t="s">
        <v>1</v>
      </c>
    </row>
    <row r="28" spans="2:10" ht="12" customHeight="1" x14ac:dyDescent="0.25">
      <c r="B28" s="11" t="s">
        <v>43</v>
      </c>
      <c r="C28" s="12">
        <v>385169.78</v>
      </c>
      <c r="D28" s="12">
        <v>593500</v>
      </c>
      <c r="E28" s="13">
        <v>978669.78</v>
      </c>
      <c r="F28" s="13">
        <v>758555.26</v>
      </c>
      <c r="G28" s="12">
        <v>514513.95</v>
      </c>
      <c r="H28" s="15"/>
    </row>
    <row r="29" spans="2:10" s="1" customFormat="1" ht="10.95" customHeight="1" x14ac:dyDescent="0.2"/>
    <row r="30" spans="2:10" s="1" customFormat="1" ht="10.95" customHeight="1" thickBot="1" x14ac:dyDescent="0.3">
      <c r="B30" s="2" t="s">
        <v>21</v>
      </c>
    </row>
    <row r="31" spans="2:10" ht="24" customHeight="1" thickBot="1" x14ac:dyDescent="0.25">
      <c r="B31" s="7"/>
      <c r="C31" s="8" t="s">
        <v>7</v>
      </c>
      <c r="D31" s="8" t="s">
        <v>24</v>
      </c>
      <c r="E31" s="8" t="s">
        <v>16</v>
      </c>
      <c r="F31" s="9" t="s">
        <v>14</v>
      </c>
      <c r="G31" s="9" t="s">
        <v>15</v>
      </c>
      <c r="H31" s="8" t="s">
        <v>0</v>
      </c>
      <c r="I31" s="10" t="s">
        <v>1</v>
      </c>
    </row>
    <row r="32" spans="2:10" ht="12" customHeight="1" thickBot="1" x14ac:dyDescent="0.3">
      <c r="B32" s="11" t="s">
        <v>43</v>
      </c>
      <c r="C32" s="12">
        <v>13520</v>
      </c>
      <c r="D32" s="12">
        <v>59839</v>
      </c>
      <c r="E32" s="12">
        <v>1624</v>
      </c>
      <c r="F32" s="13">
        <f>SUM(C32:E32)</f>
        <v>74983</v>
      </c>
      <c r="G32" s="13">
        <v>10742</v>
      </c>
      <c r="H32" s="12">
        <v>683</v>
      </c>
      <c r="I32" s="15"/>
    </row>
    <row r="33" spans="2:9" s="1" customFormat="1" ht="10.95" customHeight="1" x14ac:dyDescent="0.2"/>
    <row r="34" spans="2:9" s="1" customFormat="1" ht="10.95" customHeight="1" x14ac:dyDescent="0.2"/>
    <row r="35" spans="2:9" s="1" customFormat="1" ht="10.95" customHeight="1" thickBot="1" x14ac:dyDescent="0.3">
      <c r="B35" s="2" t="s">
        <v>23</v>
      </c>
    </row>
    <row r="36" spans="2:9" ht="24" customHeight="1" thickBot="1" x14ac:dyDescent="0.25">
      <c r="B36" s="7"/>
      <c r="C36" s="8" t="s">
        <v>16</v>
      </c>
      <c r="D36" s="9" t="s">
        <v>14</v>
      </c>
      <c r="E36" s="9" t="s">
        <v>15</v>
      </c>
      <c r="F36" s="8" t="s">
        <v>0</v>
      </c>
      <c r="G36" s="10" t="s">
        <v>1</v>
      </c>
    </row>
    <row r="37" spans="2:9" ht="12" customHeight="1" thickBot="1" x14ac:dyDescent="0.3">
      <c r="B37" s="11" t="s">
        <v>43</v>
      </c>
      <c r="C37" s="12">
        <v>85553</v>
      </c>
      <c r="D37" s="13">
        <f>SUM(C37:C37)</f>
        <v>85553</v>
      </c>
      <c r="E37" s="13">
        <v>16830</v>
      </c>
      <c r="F37" s="12">
        <v>17021</v>
      </c>
      <c r="G37" s="15"/>
    </row>
    <row r="38" spans="2:9" s="1" customFormat="1" ht="10.95" customHeight="1" x14ac:dyDescent="0.2"/>
    <row r="39" spans="2:9" s="1" customFormat="1" ht="10.95" customHeight="1" x14ac:dyDescent="0.25">
      <c r="B39" s="2" t="s">
        <v>25</v>
      </c>
    </row>
    <row r="40" spans="2:9" ht="24" customHeight="1" x14ac:dyDescent="0.2">
      <c r="B40" s="7"/>
      <c r="C40" s="8" t="s">
        <v>7</v>
      </c>
      <c r="D40" s="8" t="s">
        <v>26</v>
      </c>
      <c r="E40" s="8" t="s">
        <v>16</v>
      </c>
      <c r="F40" s="9" t="s">
        <v>14</v>
      </c>
      <c r="G40" s="9" t="s">
        <v>15</v>
      </c>
      <c r="H40" s="8" t="s">
        <v>0</v>
      </c>
      <c r="I40" s="10" t="s">
        <v>1</v>
      </c>
    </row>
    <row r="41" spans="2:9" ht="12" customHeight="1" x14ac:dyDescent="0.25">
      <c r="B41" s="11" t="s">
        <v>43</v>
      </c>
      <c r="C41" s="12">
        <v>113603</v>
      </c>
      <c r="D41" s="12">
        <v>777308</v>
      </c>
      <c r="E41" s="12">
        <v>28999</v>
      </c>
      <c r="F41" s="13">
        <f>SUM(C41:E41)</f>
        <v>919910</v>
      </c>
      <c r="G41" s="13">
        <v>382451</v>
      </c>
      <c r="H41" s="12">
        <v>120659.26</v>
      </c>
      <c r="I41" s="15"/>
    </row>
    <row r="42" spans="2:9" s="1" customFormat="1" ht="10.95" customHeight="1" x14ac:dyDescent="0.2"/>
    <row r="43" spans="2:9" s="1" customFormat="1" ht="10.95" customHeight="1" x14ac:dyDescent="0.25">
      <c r="B43" s="2" t="s">
        <v>27</v>
      </c>
    </row>
    <row r="44" spans="2:9" ht="24" customHeight="1" x14ac:dyDescent="0.2">
      <c r="B44" s="7"/>
      <c r="C44" s="8" t="s">
        <v>7</v>
      </c>
      <c r="D44" s="8" t="s">
        <v>28</v>
      </c>
      <c r="E44" s="8" t="s">
        <v>16</v>
      </c>
      <c r="F44" s="9" t="s">
        <v>14</v>
      </c>
      <c r="G44" s="9" t="s">
        <v>15</v>
      </c>
      <c r="H44" s="8" t="s">
        <v>0</v>
      </c>
      <c r="I44" s="10" t="s">
        <v>1</v>
      </c>
    </row>
    <row r="45" spans="2:9" ht="12" customHeight="1" x14ac:dyDescent="0.25">
      <c r="B45" s="11" t="s">
        <v>43</v>
      </c>
      <c r="C45" s="12">
        <v>1133</v>
      </c>
      <c r="D45" s="12">
        <v>3100</v>
      </c>
      <c r="E45" s="12">
        <v>3340</v>
      </c>
      <c r="F45" s="13">
        <f>SUM(C45:E45)</f>
        <v>7573</v>
      </c>
      <c r="G45" s="13">
        <v>526</v>
      </c>
      <c r="H45" s="12">
        <v>12956</v>
      </c>
      <c r="I45" s="15"/>
    </row>
    <row r="46" spans="2:9" s="1" customFormat="1" ht="10.95" customHeight="1" x14ac:dyDescent="0.2"/>
    <row r="47" spans="2:9" s="1" customFormat="1" ht="10.95" customHeight="1" x14ac:dyDescent="0.2"/>
    <row r="48" spans="2:9" s="1" customFormat="1" ht="10.95" customHeight="1" x14ac:dyDescent="0.25">
      <c r="B48" s="2" t="s">
        <v>29</v>
      </c>
      <c r="F48" s="28"/>
      <c r="G48" s="28"/>
    </row>
    <row r="49" spans="2:9" ht="24" customHeight="1" x14ac:dyDescent="0.2">
      <c r="B49" s="7"/>
      <c r="C49" s="9" t="s">
        <v>14</v>
      </c>
      <c r="D49" s="9" t="s">
        <v>15</v>
      </c>
      <c r="E49" s="8" t="s">
        <v>0</v>
      </c>
      <c r="F49" s="41" t="s">
        <v>1</v>
      </c>
      <c r="G49" s="28"/>
    </row>
    <row r="50" spans="2:9" ht="12" customHeight="1" x14ac:dyDescent="0.25">
      <c r="B50" s="11" t="s">
        <v>43</v>
      </c>
      <c r="C50" s="17"/>
      <c r="D50" s="17"/>
      <c r="E50" s="12">
        <v>478699</v>
      </c>
      <c r="F50" s="42"/>
      <c r="G50" s="28"/>
    </row>
    <row r="51" spans="2:9" s="1" customFormat="1" ht="10.95" customHeight="1" x14ac:dyDescent="0.2">
      <c r="F51" s="28"/>
      <c r="G51" s="28"/>
    </row>
    <row r="52" spans="2:9" s="1" customFormat="1" ht="10.95" customHeight="1" x14ac:dyDescent="0.25">
      <c r="B52" s="2" t="s">
        <v>30</v>
      </c>
      <c r="F52" s="28"/>
      <c r="G52" s="28"/>
    </row>
    <row r="53" spans="2:9" ht="24" customHeight="1" x14ac:dyDescent="0.2">
      <c r="B53" s="7"/>
      <c r="C53" s="8" t="s">
        <v>7</v>
      </c>
      <c r="D53" s="8" t="s">
        <v>31</v>
      </c>
      <c r="E53" s="8" t="s">
        <v>16</v>
      </c>
      <c r="F53" s="43" t="s">
        <v>14</v>
      </c>
      <c r="G53" s="43" t="s">
        <v>15</v>
      </c>
      <c r="H53" s="8" t="s">
        <v>0</v>
      </c>
      <c r="I53" s="10" t="s">
        <v>1</v>
      </c>
    </row>
    <row r="54" spans="2:9" ht="12" customHeight="1" x14ac:dyDescent="0.25">
      <c r="B54" s="11" t="s">
        <v>43</v>
      </c>
      <c r="C54" s="12">
        <v>32000</v>
      </c>
      <c r="D54" s="12">
        <v>120530</v>
      </c>
      <c r="E54" s="12">
        <v>63826.2</v>
      </c>
      <c r="F54" s="44">
        <f>SUM(C54:E54)</f>
        <v>216356.2</v>
      </c>
      <c r="G54" s="44">
        <v>120530</v>
      </c>
      <c r="H54" s="12">
        <v>203356.2</v>
      </c>
      <c r="I54" s="15"/>
    </row>
    <row r="55" spans="2:9" s="1" customFormat="1" ht="10.95" customHeight="1" x14ac:dyDescent="0.2">
      <c r="F55" s="28"/>
      <c r="G55" s="28"/>
    </row>
    <row r="56" spans="2:9" s="1" customFormat="1" ht="10.95" customHeight="1" x14ac:dyDescent="0.25">
      <c r="B56" s="2" t="s">
        <v>32</v>
      </c>
      <c r="F56" s="28"/>
      <c r="G56" s="28"/>
    </row>
    <row r="57" spans="2:9" ht="24" customHeight="1" x14ac:dyDescent="0.2">
      <c r="B57" s="7"/>
      <c r="C57" s="9" t="s">
        <v>14</v>
      </c>
      <c r="D57" s="9" t="s">
        <v>15</v>
      </c>
      <c r="E57" s="8" t="s">
        <v>0</v>
      </c>
      <c r="F57" s="41" t="s">
        <v>1</v>
      </c>
      <c r="G57" s="28"/>
    </row>
    <row r="58" spans="2:9" ht="12" customHeight="1" x14ac:dyDescent="0.25">
      <c r="B58" s="11" t="s">
        <v>43</v>
      </c>
      <c r="C58" s="17"/>
      <c r="D58" s="17"/>
      <c r="E58" s="12">
        <v>201086.62</v>
      </c>
      <c r="F58" s="42"/>
      <c r="G58" s="28"/>
    </row>
    <row r="59" spans="2:9" s="1" customFormat="1" ht="10.95" customHeight="1" x14ac:dyDescent="0.2">
      <c r="F59" s="28"/>
      <c r="G59" s="28"/>
    </row>
    <row r="60" spans="2:9" s="1" customFormat="1" ht="10.95" customHeight="1" x14ac:dyDescent="0.25">
      <c r="B60" s="2" t="s">
        <v>33</v>
      </c>
      <c r="F60" s="28"/>
      <c r="G60" s="28"/>
    </row>
    <row r="61" spans="2:9" ht="24" customHeight="1" x14ac:dyDescent="0.2">
      <c r="B61" s="7"/>
      <c r="C61" s="8" t="s">
        <v>34</v>
      </c>
      <c r="D61" s="9" t="s">
        <v>14</v>
      </c>
      <c r="E61" s="9" t="s">
        <v>15</v>
      </c>
      <c r="F61" s="45" t="s">
        <v>0</v>
      </c>
      <c r="G61" s="41" t="s">
        <v>1</v>
      </c>
    </row>
    <row r="62" spans="2:9" ht="12" customHeight="1" x14ac:dyDescent="0.25">
      <c r="B62" s="11" t="s">
        <v>43</v>
      </c>
      <c r="C62" s="12">
        <v>41259</v>
      </c>
      <c r="D62" s="13">
        <v>41259</v>
      </c>
      <c r="E62" s="13">
        <v>41259</v>
      </c>
      <c r="F62" s="46">
        <v>135614</v>
      </c>
      <c r="G62" s="42"/>
    </row>
    <row r="63" spans="2:9" s="1" customFormat="1" ht="10.95" customHeight="1" x14ac:dyDescent="0.2">
      <c r="F63" s="28"/>
      <c r="G63" s="28"/>
    </row>
    <row r="64" spans="2:9" s="1" customFormat="1" ht="10.95" customHeight="1" x14ac:dyDescent="0.2">
      <c r="F64" s="28"/>
      <c r="G64" s="28"/>
    </row>
    <row r="65" spans="2:7" s="1" customFormat="1" ht="10.95" customHeight="1" x14ac:dyDescent="0.25">
      <c r="B65" s="2" t="s">
        <v>38</v>
      </c>
      <c r="F65" s="28"/>
      <c r="G65" s="28"/>
    </row>
    <row r="66" spans="2:7" ht="24" customHeight="1" x14ac:dyDescent="0.2">
      <c r="B66" s="7"/>
      <c r="C66" s="9" t="s">
        <v>14</v>
      </c>
      <c r="D66" s="9" t="s">
        <v>15</v>
      </c>
      <c r="E66" s="8" t="s">
        <v>0</v>
      </c>
      <c r="F66" s="41" t="s">
        <v>1</v>
      </c>
      <c r="G66" s="28"/>
    </row>
    <row r="67" spans="2:7" ht="12" customHeight="1" thickBot="1" x14ac:dyDescent="0.3">
      <c r="B67" s="11" t="s">
        <v>43</v>
      </c>
      <c r="C67" s="19"/>
      <c r="D67" s="13">
        <v>20597</v>
      </c>
      <c r="E67" s="16"/>
      <c r="F67" s="47">
        <v>205041</v>
      </c>
      <c r="G67" s="28"/>
    </row>
    <row r="68" spans="2:7" ht="12" customHeight="1" x14ac:dyDescent="0.25">
      <c r="B68" s="21"/>
      <c r="C68" s="23"/>
      <c r="D68" s="22"/>
      <c r="E68" s="23"/>
      <c r="F68" s="48"/>
      <c r="G68" s="28"/>
    </row>
    <row r="69" spans="2:7" s="1" customFormat="1" ht="10.95" customHeight="1" thickBot="1" x14ac:dyDescent="0.3">
      <c r="B69" s="2" t="s">
        <v>36</v>
      </c>
      <c r="F69" s="28"/>
      <c r="G69" s="28"/>
    </row>
    <row r="70" spans="2:7" ht="24" customHeight="1" thickBot="1" x14ac:dyDescent="0.25">
      <c r="B70" s="7"/>
      <c r="C70" s="9" t="s">
        <v>14</v>
      </c>
      <c r="D70" s="9" t="s">
        <v>15</v>
      </c>
      <c r="E70" s="8" t="s">
        <v>0</v>
      </c>
      <c r="F70" s="10" t="s">
        <v>1</v>
      </c>
    </row>
    <row r="71" spans="2:7" ht="12" customHeight="1" thickBot="1" x14ac:dyDescent="0.3">
      <c r="B71" s="11" t="s">
        <v>43</v>
      </c>
      <c r="C71" s="19"/>
      <c r="D71" s="13">
        <v>9744</v>
      </c>
      <c r="E71" s="16"/>
      <c r="F71" s="18">
        <v>30165</v>
      </c>
    </row>
    <row r="73" spans="2:7" s="1" customFormat="1" ht="10.95" customHeight="1" x14ac:dyDescent="0.2">
      <c r="F73" s="28"/>
      <c r="G73" s="28"/>
    </row>
    <row r="74" spans="2:7" s="1" customFormat="1" ht="10.95" customHeight="1" x14ac:dyDescent="0.25">
      <c r="B74" s="2" t="s">
        <v>35</v>
      </c>
      <c r="F74" s="28"/>
      <c r="G74" s="28"/>
    </row>
    <row r="75" spans="2:7" ht="24" customHeight="1" x14ac:dyDescent="0.2">
      <c r="B75" s="7"/>
      <c r="C75" s="9" t="s">
        <v>14</v>
      </c>
      <c r="D75" s="9" t="s">
        <v>15</v>
      </c>
      <c r="E75" s="8" t="s">
        <v>0</v>
      </c>
      <c r="F75" s="41" t="s">
        <v>1</v>
      </c>
      <c r="G75" s="28"/>
    </row>
    <row r="76" spans="2:7" ht="12" customHeight="1" x14ac:dyDescent="0.25">
      <c r="B76" s="11" t="s">
        <v>43</v>
      </c>
      <c r="C76" s="19"/>
      <c r="D76" s="13">
        <v>44861.34</v>
      </c>
      <c r="E76" s="16"/>
      <c r="F76" s="47">
        <v>47802.720000000001</v>
      </c>
      <c r="G76" s="28"/>
    </row>
    <row r="77" spans="2:7" s="1" customFormat="1" ht="10.95" customHeight="1" x14ac:dyDescent="0.2">
      <c r="F77" s="28"/>
      <c r="G77" s="28"/>
    </row>
    <row r="78" spans="2:7" s="1" customFormat="1" ht="10.95" customHeight="1" x14ac:dyDescent="0.2">
      <c r="F78" s="28"/>
      <c r="G78" s="28"/>
    </row>
    <row r="79" spans="2:7" s="1" customFormat="1" ht="10.95" customHeight="1" x14ac:dyDescent="0.25">
      <c r="B79" s="2" t="s">
        <v>37</v>
      </c>
      <c r="F79" s="28"/>
      <c r="G79" s="28"/>
    </row>
    <row r="80" spans="2:7" ht="24" customHeight="1" x14ac:dyDescent="0.2">
      <c r="B80" s="7"/>
      <c r="C80" s="9" t="s">
        <v>14</v>
      </c>
      <c r="D80" s="9" t="s">
        <v>15</v>
      </c>
      <c r="E80" s="8" t="s">
        <v>0</v>
      </c>
      <c r="F80" s="10" t="s">
        <v>1</v>
      </c>
    </row>
    <row r="81" spans="2:10" ht="12" customHeight="1" x14ac:dyDescent="0.25">
      <c r="B81" s="11" t="s">
        <v>43</v>
      </c>
      <c r="C81" s="19"/>
      <c r="D81" s="13">
        <v>1467</v>
      </c>
      <c r="E81" s="16"/>
      <c r="F81" s="18">
        <v>26061</v>
      </c>
    </row>
    <row r="82" spans="2:10" s="1" customFormat="1" ht="10.95" customHeight="1" x14ac:dyDescent="0.2"/>
    <row r="83" spans="2:10" s="1" customFormat="1" ht="10.95" customHeight="1" x14ac:dyDescent="0.2"/>
    <row r="84" spans="2:10" s="1" customFormat="1" ht="10.95" customHeight="1" x14ac:dyDescent="0.25">
      <c r="B84" s="2" t="s">
        <v>39</v>
      </c>
      <c r="G84" s="28"/>
    </row>
    <row r="85" spans="2:10" ht="24" customHeight="1" x14ac:dyDescent="0.2">
      <c r="B85" s="7"/>
      <c r="C85" s="9" t="s">
        <v>14</v>
      </c>
      <c r="D85" s="9" t="s">
        <v>15</v>
      </c>
      <c r="E85" s="8" t="s">
        <v>0</v>
      </c>
      <c r="F85" s="10" t="s">
        <v>1</v>
      </c>
      <c r="G85" s="28"/>
    </row>
    <row r="86" spans="2:10" ht="12" customHeight="1" x14ac:dyDescent="0.25">
      <c r="B86" s="11" t="s">
        <v>43</v>
      </c>
      <c r="C86" s="17"/>
      <c r="D86" s="17"/>
      <c r="E86" s="12">
        <v>10580</v>
      </c>
      <c r="F86" s="15"/>
      <c r="G86" s="28"/>
    </row>
    <row r="87" spans="2:10" s="1" customFormat="1" ht="10.95" customHeight="1" x14ac:dyDescent="0.2">
      <c r="G87" s="28"/>
    </row>
    <row r="88" spans="2:10" s="1" customFormat="1" ht="10.95" customHeight="1" x14ac:dyDescent="0.25">
      <c r="B88" s="2" t="s">
        <v>40</v>
      </c>
      <c r="G88" s="28"/>
    </row>
    <row r="89" spans="2:10" ht="24" customHeight="1" x14ac:dyDescent="0.2">
      <c r="B89" s="7"/>
      <c r="C89" s="9" t="s">
        <v>14</v>
      </c>
      <c r="D89" s="9" t="s">
        <v>15</v>
      </c>
      <c r="E89" s="8" t="s">
        <v>0</v>
      </c>
      <c r="F89" s="10" t="s">
        <v>1</v>
      </c>
      <c r="G89" s="28"/>
    </row>
    <row r="90" spans="2:10" ht="12" customHeight="1" thickBot="1" x14ac:dyDescent="0.3">
      <c r="B90" s="11" t="s">
        <v>43</v>
      </c>
      <c r="C90" s="19"/>
      <c r="D90" s="20">
        <v>814.08</v>
      </c>
      <c r="E90" s="16"/>
      <c r="F90" s="18">
        <v>3252.78</v>
      </c>
      <c r="G90" s="28"/>
    </row>
    <row r="91" spans="2:10" ht="12" customHeight="1" x14ac:dyDescent="0.25">
      <c r="B91" s="21"/>
      <c r="C91" s="23"/>
      <c r="D91" s="24"/>
      <c r="E91" s="23"/>
      <c r="F91" s="22"/>
      <c r="G91" s="28"/>
    </row>
    <row r="92" spans="2:10" ht="12" customHeight="1" x14ac:dyDescent="0.25">
      <c r="B92" s="21"/>
      <c r="C92" s="23"/>
      <c r="D92" s="24"/>
      <c r="E92" s="23"/>
      <c r="F92" s="22"/>
    </row>
    <row r="93" spans="2:10" s="1" customFormat="1" ht="10.95" customHeight="1" x14ac:dyDescent="0.2"/>
    <row r="94" spans="2:10" s="1" customFormat="1" ht="10.95" customHeight="1" thickBot="1" x14ac:dyDescent="0.3">
      <c r="B94" s="2" t="s">
        <v>42</v>
      </c>
    </row>
    <row r="95" spans="2:10" ht="24" customHeight="1" thickBot="1" x14ac:dyDescent="0.25">
      <c r="B95" s="7"/>
      <c r="C95" s="8" t="s">
        <v>11</v>
      </c>
      <c r="D95" s="8" t="s">
        <v>5</v>
      </c>
      <c r="E95" s="8" t="s">
        <v>12</v>
      </c>
      <c r="F95" s="8" t="s">
        <v>7</v>
      </c>
      <c r="G95" s="9" t="s">
        <v>14</v>
      </c>
      <c r="H95" s="9" t="s">
        <v>15</v>
      </c>
      <c r="I95" s="8" t="s">
        <v>0</v>
      </c>
      <c r="J95" s="10" t="s">
        <v>1</v>
      </c>
    </row>
    <row r="96" spans="2:10" ht="12" customHeight="1" thickBot="1" x14ac:dyDescent="0.3">
      <c r="B96" s="11" t="s">
        <v>43</v>
      </c>
      <c r="C96" s="12">
        <v>3743</v>
      </c>
      <c r="D96" s="12">
        <v>61994</v>
      </c>
      <c r="E96" s="12">
        <v>18926</v>
      </c>
      <c r="F96" s="12">
        <v>3225.12</v>
      </c>
      <c r="G96" s="13">
        <f>SUM(C96:F96)</f>
        <v>87888.12</v>
      </c>
      <c r="H96" s="13">
        <v>3249</v>
      </c>
      <c r="I96" s="16"/>
      <c r="J96" s="18">
        <v>26074</v>
      </c>
    </row>
    <row r="97" spans="2:11" s="1" customFormat="1" ht="10.95" customHeight="1" x14ac:dyDescent="0.2"/>
    <row r="98" spans="2:11" s="1" customFormat="1" ht="10.95" customHeight="1" x14ac:dyDescent="0.2"/>
    <row r="99" spans="2:11" s="1" customFormat="1" ht="10.95" customHeight="1" thickBot="1" x14ac:dyDescent="0.3">
      <c r="B99" s="2" t="s">
        <v>44</v>
      </c>
    </row>
    <row r="100" spans="2:11" ht="24" customHeight="1" thickBot="1" x14ac:dyDescent="0.25">
      <c r="B100" s="7"/>
      <c r="C100" s="8" t="s">
        <v>6</v>
      </c>
      <c r="D100" s="9" t="s">
        <v>14</v>
      </c>
      <c r="E100" s="9" t="s">
        <v>15</v>
      </c>
      <c r="F100" s="8" t="s">
        <v>0</v>
      </c>
      <c r="G100" s="10" t="s">
        <v>1</v>
      </c>
    </row>
    <row r="101" spans="2:11" ht="12" customHeight="1" thickBot="1" x14ac:dyDescent="0.3">
      <c r="B101" s="11" t="s">
        <v>43</v>
      </c>
      <c r="C101" s="12">
        <v>425</v>
      </c>
      <c r="D101" s="13">
        <f>SUM(C101)</f>
        <v>425</v>
      </c>
      <c r="E101" s="13">
        <v>350</v>
      </c>
      <c r="F101" s="16"/>
      <c r="G101" s="18">
        <v>1217</v>
      </c>
    </row>
    <row r="102" spans="2:11" s="1" customFormat="1" ht="10.95" customHeight="1" x14ac:dyDescent="0.2"/>
    <row r="103" spans="2:11" s="1" customFormat="1" ht="10.95" customHeight="1" thickBot="1" x14ac:dyDescent="0.3">
      <c r="B103" s="2" t="s">
        <v>45</v>
      </c>
    </row>
    <row r="104" spans="2:11" ht="24" customHeight="1" thickBot="1" x14ac:dyDescent="0.25">
      <c r="B104" s="7"/>
      <c r="C104" s="8" t="s">
        <v>11</v>
      </c>
      <c r="D104" s="8" t="s">
        <v>5</v>
      </c>
      <c r="E104" s="9" t="s">
        <v>14</v>
      </c>
      <c r="F104" s="9" t="s">
        <v>15</v>
      </c>
      <c r="G104" s="8" t="s">
        <v>0</v>
      </c>
      <c r="H104" s="10" t="s">
        <v>1</v>
      </c>
    </row>
    <row r="105" spans="2:11" ht="12" customHeight="1" thickBot="1" x14ac:dyDescent="0.3">
      <c r="B105" s="11" t="s">
        <v>43</v>
      </c>
      <c r="C105" s="12">
        <v>6000</v>
      </c>
      <c r="D105" s="12">
        <v>47580</v>
      </c>
      <c r="E105" s="13">
        <f>SUM(C105:D105)</f>
        <v>53580</v>
      </c>
      <c r="F105" s="13">
        <v>49158.68</v>
      </c>
      <c r="G105" s="16"/>
      <c r="H105" s="18">
        <v>2397.7600000000002</v>
      </c>
    </row>
    <row r="106" spans="2:11" s="1" customFormat="1" ht="10.95" customHeight="1" x14ac:dyDescent="0.2"/>
    <row r="107" spans="2:11" s="1" customFormat="1" ht="10.95" customHeight="1" x14ac:dyDescent="0.2"/>
    <row r="108" spans="2:11" s="1" customFormat="1" ht="10.95" customHeight="1" x14ac:dyDescent="0.25">
      <c r="B108" s="2" t="s">
        <v>46</v>
      </c>
    </row>
    <row r="109" spans="2:11" ht="24" customHeight="1" x14ac:dyDescent="0.2">
      <c r="B109" s="7"/>
      <c r="C109" s="8" t="s">
        <v>11</v>
      </c>
      <c r="D109" s="8" t="s">
        <v>5</v>
      </c>
      <c r="E109" s="8" t="s">
        <v>47</v>
      </c>
      <c r="F109" s="8" t="s">
        <v>48</v>
      </c>
      <c r="G109" s="8" t="s">
        <v>49</v>
      </c>
      <c r="H109" s="9" t="s">
        <v>14</v>
      </c>
      <c r="I109" s="9" t="s">
        <v>15</v>
      </c>
      <c r="J109" s="8" t="s">
        <v>0</v>
      </c>
      <c r="K109" s="10" t="s">
        <v>1</v>
      </c>
    </row>
    <row r="110" spans="2:11" ht="12" customHeight="1" x14ac:dyDescent="0.25">
      <c r="B110" s="11" t="s">
        <v>43</v>
      </c>
      <c r="C110" s="12">
        <v>72331</v>
      </c>
      <c r="D110" s="12">
        <v>64731</v>
      </c>
      <c r="E110" s="12">
        <v>1404</v>
      </c>
      <c r="F110" s="12">
        <v>1735</v>
      </c>
      <c r="G110" s="12">
        <v>1134</v>
      </c>
      <c r="H110" s="13">
        <f>SUM(C110:G110)</f>
        <v>141335</v>
      </c>
      <c r="I110" s="13">
        <v>155500</v>
      </c>
      <c r="J110" s="16"/>
      <c r="K110" s="18">
        <v>16898</v>
      </c>
    </row>
    <row r="111" spans="2:11" s="1" customFormat="1" ht="10.95" customHeight="1" x14ac:dyDescent="0.2"/>
    <row r="112" spans="2:11" s="1" customFormat="1" ht="10.95" customHeight="1" x14ac:dyDescent="0.25">
      <c r="B112" s="2" t="s">
        <v>50</v>
      </c>
    </row>
    <row r="113" spans="2:9" ht="24" customHeight="1" x14ac:dyDescent="0.2">
      <c r="B113" s="7"/>
      <c r="C113" s="8" t="s">
        <v>5</v>
      </c>
      <c r="D113" s="9" t="s">
        <v>14</v>
      </c>
      <c r="E113" s="9" t="s">
        <v>15</v>
      </c>
      <c r="F113" s="8" t="s">
        <v>0</v>
      </c>
      <c r="G113" s="10" t="s">
        <v>1</v>
      </c>
    </row>
    <row r="114" spans="2:9" ht="12" customHeight="1" x14ac:dyDescent="0.25">
      <c r="B114" s="11" t="s">
        <v>43</v>
      </c>
      <c r="C114" s="12">
        <v>145500</v>
      </c>
      <c r="D114" s="13">
        <v>145500</v>
      </c>
      <c r="E114" s="13">
        <v>140453.04</v>
      </c>
      <c r="F114" s="16"/>
      <c r="G114" s="18">
        <v>12314.22</v>
      </c>
    </row>
    <row r="115" spans="2:9" s="1" customFormat="1" ht="10.95" customHeight="1" x14ac:dyDescent="0.2"/>
    <row r="116" spans="2:9" s="1" customFormat="1" ht="10.95" customHeight="1" x14ac:dyDescent="0.25">
      <c r="B116" s="2" t="s">
        <v>51</v>
      </c>
    </row>
    <row r="117" spans="2:9" ht="24" customHeight="1" x14ac:dyDescent="0.2">
      <c r="B117" s="7"/>
      <c r="C117" s="8" t="s">
        <v>5</v>
      </c>
      <c r="D117" s="9" t="s">
        <v>14</v>
      </c>
      <c r="E117" s="9" t="s">
        <v>15</v>
      </c>
      <c r="F117" s="8" t="s">
        <v>0</v>
      </c>
      <c r="G117" s="10" t="s">
        <v>1</v>
      </c>
    </row>
    <row r="118" spans="2:9" ht="12" customHeight="1" x14ac:dyDescent="0.25">
      <c r="B118" s="11" t="s">
        <v>43</v>
      </c>
      <c r="C118" s="12">
        <v>1730748.46</v>
      </c>
      <c r="D118" s="13">
        <v>1730748.46</v>
      </c>
      <c r="E118" s="13">
        <v>1735499.29</v>
      </c>
      <c r="F118" s="16"/>
      <c r="G118" s="18">
        <v>156466.9</v>
      </c>
    </row>
    <row r="119" spans="2:9" s="1" customFormat="1" ht="10.95" customHeight="1" x14ac:dyDescent="0.2"/>
    <row r="120" spans="2:9" s="1" customFormat="1" ht="10.95" customHeight="1" x14ac:dyDescent="0.25">
      <c r="B120" s="2" t="s">
        <v>52</v>
      </c>
    </row>
    <row r="121" spans="2:9" ht="24" customHeight="1" x14ac:dyDescent="0.2">
      <c r="B121" s="7"/>
      <c r="C121" s="8" t="s">
        <v>5</v>
      </c>
      <c r="D121" s="8" t="s">
        <v>13</v>
      </c>
      <c r="E121" s="8" t="s">
        <v>9</v>
      </c>
      <c r="F121" s="9" t="s">
        <v>14</v>
      </c>
      <c r="G121" s="9" t="s">
        <v>15</v>
      </c>
      <c r="H121" s="8" t="s">
        <v>0</v>
      </c>
      <c r="I121" s="10" t="s">
        <v>1</v>
      </c>
    </row>
    <row r="122" spans="2:9" ht="12" customHeight="1" x14ac:dyDescent="0.25">
      <c r="B122" s="11" t="s">
        <v>43</v>
      </c>
      <c r="C122" s="12">
        <v>3233266</v>
      </c>
      <c r="D122" s="12">
        <v>49158.68</v>
      </c>
      <c r="E122" s="12">
        <v>228721.94</v>
      </c>
      <c r="F122" s="13">
        <v>3511146.62</v>
      </c>
      <c r="G122" s="13">
        <v>3511337.77</v>
      </c>
      <c r="H122" s="16"/>
      <c r="I122" s="18">
        <v>290082.05</v>
      </c>
    </row>
    <row r="123" spans="2:9" s="1" customFormat="1" ht="10.95" customHeight="1" x14ac:dyDescent="0.2"/>
    <row r="124" spans="2:9" s="1" customFormat="1" ht="10.95" customHeight="1" x14ac:dyDescent="0.25">
      <c r="B124" s="2" t="s">
        <v>53</v>
      </c>
    </row>
    <row r="125" spans="2:9" ht="24" customHeight="1" x14ac:dyDescent="0.2">
      <c r="B125" s="7"/>
      <c r="C125" s="8" t="s">
        <v>11</v>
      </c>
      <c r="D125" s="8" t="s">
        <v>5</v>
      </c>
      <c r="E125" s="9" t="s">
        <v>14</v>
      </c>
      <c r="F125" s="9" t="s">
        <v>15</v>
      </c>
      <c r="G125" s="8" t="s">
        <v>0</v>
      </c>
      <c r="H125" s="10" t="s">
        <v>1</v>
      </c>
    </row>
    <row r="126" spans="2:9" ht="12" customHeight="1" x14ac:dyDescent="0.25">
      <c r="B126" s="11" t="s">
        <v>43</v>
      </c>
      <c r="C126" s="12">
        <v>20400</v>
      </c>
      <c r="D126" s="12">
        <v>108435</v>
      </c>
      <c r="E126" s="13">
        <v>128835</v>
      </c>
      <c r="F126" s="13">
        <v>113492.52</v>
      </c>
      <c r="G126" s="12">
        <v>19361.36</v>
      </c>
      <c r="H126" s="15"/>
    </row>
    <row r="127" spans="2:9" s="1" customFormat="1" ht="10.95" customHeight="1" x14ac:dyDescent="0.2"/>
    <row r="128" spans="2:9" s="1" customFormat="1" ht="10.95" customHeight="1" x14ac:dyDescent="0.25">
      <c r="B128" s="2" t="s">
        <v>54</v>
      </c>
    </row>
    <row r="129" spans="2:7" ht="24" customHeight="1" x14ac:dyDescent="0.2">
      <c r="B129" s="7"/>
      <c r="C129" s="8" t="s">
        <v>11</v>
      </c>
      <c r="D129" s="9" t="s">
        <v>14</v>
      </c>
      <c r="E129" s="9" t="s">
        <v>15</v>
      </c>
      <c r="F129" s="8" t="s">
        <v>0</v>
      </c>
      <c r="G129" s="10" t="s">
        <v>1</v>
      </c>
    </row>
    <row r="130" spans="2:7" ht="12" customHeight="1" thickBot="1" x14ac:dyDescent="0.3">
      <c r="B130" s="11" t="s">
        <v>43</v>
      </c>
      <c r="C130" s="14">
        <v>1500</v>
      </c>
      <c r="D130" s="20">
        <f>C130</f>
        <v>1500</v>
      </c>
      <c r="E130" s="20">
        <v>15900</v>
      </c>
      <c r="F130" s="16"/>
      <c r="G130" s="18">
        <v>14400</v>
      </c>
    </row>
    <row r="131" spans="2:7" ht="12" customHeight="1" x14ac:dyDescent="0.25">
      <c r="B131" s="21"/>
      <c r="C131" s="24"/>
      <c r="D131" s="24"/>
      <c r="E131" s="24"/>
      <c r="F131" s="23"/>
      <c r="G131" s="22"/>
    </row>
    <row r="132" spans="2:7" ht="12" customHeight="1" thickBot="1" x14ac:dyDescent="0.3">
      <c r="B132" s="2" t="s">
        <v>55</v>
      </c>
    </row>
    <row r="133" spans="2:7" ht="29.4" customHeight="1" thickBot="1" x14ac:dyDescent="0.25">
      <c r="B133" s="7"/>
      <c r="C133" s="8" t="s">
        <v>5</v>
      </c>
      <c r="D133" s="9" t="s">
        <v>14</v>
      </c>
      <c r="E133" s="9" t="s">
        <v>15</v>
      </c>
      <c r="F133" s="8" t="s">
        <v>0</v>
      </c>
      <c r="G133" s="10" t="s">
        <v>1</v>
      </c>
    </row>
    <row r="134" spans="2:7" ht="17.399999999999999" customHeight="1" thickBot="1" x14ac:dyDescent="0.3">
      <c r="B134" s="11" t="s">
        <v>43</v>
      </c>
      <c r="C134" s="12">
        <v>2700</v>
      </c>
      <c r="D134" s="13">
        <v>2700</v>
      </c>
      <c r="E134" s="13">
        <v>2700</v>
      </c>
      <c r="F134" s="14"/>
      <c r="G134" s="15"/>
    </row>
    <row r="135" spans="2:7" ht="12" customHeight="1" x14ac:dyDescent="0.25">
      <c r="B135" s="21"/>
      <c r="C135" s="24"/>
      <c r="D135" s="24"/>
      <c r="E135" s="24"/>
      <c r="F135" s="23"/>
      <c r="G135" s="22"/>
    </row>
    <row r="136" spans="2:7" s="1" customFormat="1" ht="10.95" customHeight="1" x14ac:dyDescent="0.2"/>
    <row r="137" spans="2:7" s="1" customFormat="1" ht="10.95" customHeight="1" x14ac:dyDescent="0.25">
      <c r="B137" s="2" t="s">
        <v>56</v>
      </c>
    </row>
    <row r="138" spans="2:7" ht="24" customHeight="1" x14ac:dyDescent="0.2">
      <c r="B138" s="7"/>
      <c r="C138" s="8" t="s">
        <v>5</v>
      </c>
      <c r="D138" s="9" t="s">
        <v>14</v>
      </c>
      <c r="E138" s="9" t="s">
        <v>15</v>
      </c>
      <c r="F138" s="8" t="s">
        <v>0</v>
      </c>
      <c r="G138" s="10" t="s">
        <v>1</v>
      </c>
    </row>
    <row r="139" spans="2:7" ht="12" customHeight="1" x14ac:dyDescent="0.25">
      <c r="B139" s="11" t="s">
        <v>43</v>
      </c>
      <c r="C139" s="12">
        <v>27940</v>
      </c>
      <c r="D139" s="13">
        <v>27940</v>
      </c>
      <c r="E139" s="13">
        <v>27164.5</v>
      </c>
      <c r="F139" s="14">
        <v>775.5</v>
      </c>
      <c r="G139" s="15"/>
    </row>
    <row r="140" spans="2:7" s="1" customFormat="1" ht="10.95" customHeight="1" x14ac:dyDescent="0.2"/>
    <row r="141" spans="2:7" s="1" customFormat="1" ht="10.95" customHeight="1" x14ac:dyDescent="0.2"/>
    <row r="142" spans="2:7" s="1" customFormat="1" ht="10.95" customHeight="1" x14ac:dyDescent="0.25">
      <c r="B142" s="25" t="s">
        <v>71</v>
      </c>
    </row>
    <row r="143" spans="2:7" ht="24" customHeight="1" x14ac:dyDescent="0.2">
      <c r="B143" s="26"/>
      <c r="C143" s="8" t="s">
        <v>72</v>
      </c>
      <c r="D143" s="9" t="s">
        <v>14</v>
      </c>
      <c r="E143" s="9" t="s">
        <v>15</v>
      </c>
      <c r="F143" s="8" t="s">
        <v>0</v>
      </c>
      <c r="G143" s="10" t="s">
        <v>1</v>
      </c>
    </row>
    <row r="144" spans="2:7" ht="12" customHeight="1" x14ac:dyDescent="0.25">
      <c r="B144" s="27" t="s">
        <v>43</v>
      </c>
      <c r="C144" s="12"/>
      <c r="D144" s="13"/>
      <c r="E144" s="13"/>
      <c r="F144" s="12"/>
      <c r="G144" s="13"/>
    </row>
    <row r="145" spans="2:7" s="1" customFormat="1" ht="10.95" customHeight="1" x14ac:dyDescent="0.2">
      <c r="B145" s="28"/>
    </row>
    <row r="146" spans="2:7" s="1" customFormat="1" ht="10.95" customHeight="1" x14ac:dyDescent="0.2"/>
    <row r="147" spans="2:7" s="1" customFormat="1" ht="10.95" customHeight="1" x14ac:dyDescent="0.2"/>
    <row r="148" spans="2:7" s="1" customFormat="1" ht="10.95" customHeight="1" thickBot="1" x14ac:dyDescent="0.3">
      <c r="B148" s="2" t="s">
        <v>57</v>
      </c>
    </row>
    <row r="149" spans="2:7" ht="24" customHeight="1" thickBot="1" x14ac:dyDescent="0.25">
      <c r="B149" s="7"/>
      <c r="C149" s="8" t="s">
        <v>72</v>
      </c>
      <c r="D149" s="9" t="s">
        <v>14</v>
      </c>
      <c r="E149" s="9" t="s">
        <v>15</v>
      </c>
      <c r="F149" s="8" t="s">
        <v>0</v>
      </c>
      <c r="G149" s="10" t="s">
        <v>1</v>
      </c>
    </row>
    <row r="150" spans="2:7" ht="12" customHeight="1" thickBot="1" x14ac:dyDescent="0.3">
      <c r="B150" s="11" t="s">
        <v>43</v>
      </c>
      <c r="C150" s="12">
        <f>E150</f>
        <v>200000</v>
      </c>
      <c r="D150" s="13">
        <f>C150</f>
        <v>200000</v>
      </c>
      <c r="E150" s="13">
        <v>200000</v>
      </c>
      <c r="F150" s="16"/>
      <c r="G150" s="15"/>
    </row>
    <row r="151" spans="2:7" s="1" customFormat="1" ht="10.95" customHeight="1" x14ac:dyDescent="0.2"/>
    <row r="152" spans="2:7" s="1" customFormat="1" ht="10.95" customHeight="1" x14ac:dyDescent="0.2"/>
    <row r="153" spans="2:7" s="1" customFormat="1" ht="10.95" customHeight="1" x14ac:dyDescent="0.25">
      <c r="B153" s="2" t="s">
        <v>70</v>
      </c>
    </row>
    <row r="154" spans="2:7" ht="24" customHeight="1" x14ac:dyDescent="0.2">
      <c r="B154" s="7"/>
      <c r="C154" s="8" t="s">
        <v>72</v>
      </c>
      <c r="D154" s="9" t="s">
        <v>14</v>
      </c>
      <c r="E154" s="9" t="s">
        <v>15</v>
      </c>
      <c r="F154" s="8" t="s">
        <v>0</v>
      </c>
      <c r="G154" s="10" t="s">
        <v>1</v>
      </c>
    </row>
    <row r="155" spans="2:7" ht="12" customHeight="1" x14ac:dyDescent="0.25">
      <c r="B155" s="11" t="s">
        <v>43</v>
      </c>
      <c r="C155" s="12">
        <f>E155</f>
        <v>80387.06</v>
      </c>
      <c r="D155" s="13">
        <f>C155</f>
        <v>80387.06</v>
      </c>
      <c r="E155" s="13">
        <f>80000+387.06</f>
        <v>80387.06</v>
      </c>
      <c r="F155" s="16"/>
      <c r="G155" s="15"/>
    </row>
    <row r="156" spans="2:7" s="1" customFormat="1" ht="10.95" customHeight="1" x14ac:dyDescent="0.2"/>
    <row r="157" spans="2:7" s="1" customFormat="1" ht="10.95" customHeight="1" x14ac:dyDescent="0.2"/>
    <row r="158" spans="2:7" s="1" customFormat="1" ht="10.95" customHeight="1" x14ac:dyDescent="0.2"/>
    <row r="159" spans="2:7" s="1" customFormat="1" ht="10.95" customHeight="1" x14ac:dyDescent="0.25">
      <c r="B159" s="2" t="s">
        <v>58</v>
      </c>
    </row>
    <row r="160" spans="2:7" ht="24" customHeight="1" x14ac:dyDescent="0.2">
      <c r="B160" s="7"/>
      <c r="C160" s="8" t="s">
        <v>9</v>
      </c>
      <c r="D160" s="9" t="s">
        <v>14</v>
      </c>
      <c r="E160" s="9" t="s">
        <v>15</v>
      </c>
      <c r="F160" s="8" t="s">
        <v>0</v>
      </c>
      <c r="G160" s="10" t="s">
        <v>1</v>
      </c>
    </row>
    <row r="161" spans="2:7" ht="12" customHeight="1" x14ac:dyDescent="0.25">
      <c r="B161" s="11" t="s">
        <v>43</v>
      </c>
      <c r="C161" s="12">
        <v>119932</v>
      </c>
      <c r="D161" s="13">
        <v>119932</v>
      </c>
      <c r="E161" s="13">
        <v>119932</v>
      </c>
      <c r="F161" s="16"/>
      <c r="G161" s="15"/>
    </row>
    <row r="162" spans="2:7" s="1" customFormat="1" ht="10.95" customHeight="1" x14ac:dyDescent="0.2"/>
    <row r="163" spans="2:7" s="1" customFormat="1" ht="10.95" customHeight="1" x14ac:dyDescent="0.25">
      <c r="B163" s="2" t="s">
        <v>59</v>
      </c>
    </row>
    <row r="164" spans="2:7" ht="24" customHeight="1" x14ac:dyDescent="0.2">
      <c r="B164" s="7"/>
      <c r="C164" s="8" t="s">
        <v>65</v>
      </c>
      <c r="D164" s="9" t="s">
        <v>14</v>
      </c>
      <c r="E164" s="9" t="s">
        <v>15</v>
      </c>
      <c r="F164" s="8" t="s">
        <v>0</v>
      </c>
      <c r="G164" s="10" t="s">
        <v>1</v>
      </c>
    </row>
    <row r="165" spans="2:7" ht="12" customHeight="1" x14ac:dyDescent="0.25">
      <c r="B165" s="11" t="s">
        <v>43</v>
      </c>
      <c r="C165" s="12">
        <v>2998</v>
      </c>
      <c r="D165" s="13">
        <v>2998</v>
      </c>
      <c r="E165" s="13">
        <v>2998</v>
      </c>
      <c r="F165" s="16"/>
      <c r="G165" s="15"/>
    </row>
    <row r="166" spans="2:7" s="1" customFormat="1" ht="10.95" customHeight="1" x14ac:dyDescent="0.2"/>
    <row r="167" spans="2:7" s="1" customFormat="1" ht="17.399999999999999" customHeight="1" thickBot="1" x14ac:dyDescent="0.3">
      <c r="B167" s="2" t="s">
        <v>60</v>
      </c>
    </row>
    <row r="168" spans="2:7" ht="24" customHeight="1" thickBot="1" x14ac:dyDescent="0.25">
      <c r="B168" s="7"/>
      <c r="C168" s="8" t="s">
        <v>16</v>
      </c>
      <c r="D168" s="9" t="s">
        <v>14</v>
      </c>
      <c r="E168" s="9" t="s">
        <v>15</v>
      </c>
      <c r="F168" s="8" t="s">
        <v>0</v>
      </c>
      <c r="G168" s="10" t="s">
        <v>1</v>
      </c>
    </row>
    <row r="169" spans="2:7" ht="12" customHeight="1" thickBot="1" x14ac:dyDescent="0.3">
      <c r="B169" s="11" t="s">
        <v>43</v>
      </c>
      <c r="C169" s="12">
        <v>22000</v>
      </c>
      <c r="D169" s="13">
        <v>22000</v>
      </c>
      <c r="E169" s="13">
        <v>22000</v>
      </c>
      <c r="F169" s="16"/>
      <c r="G169" s="15"/>
    </row>
    <row r="170" spans="2:7" s="1" customFormat="1" ht="10.95" customHeight="1" x14ac:dyDescent="0.2"/>
    <row r="171" spans="2:7" s="1" customFormat="1" ht="10.95" customHeight="1" thickBot="1" x14ac:dyDescent="0.3">
      <c r="B171" s="2" t="s">
        <v>61</v>
      </c>
    </row>
    <row r="172" spans="2:7" ht="24" customHeight="1" thickBot="1" x14ac:dyDescent="0.25">
      <c r="B172" s="7"/>
      <c r="C172" s="8" t="s">
        <v>16</v>
      </c>
      <c r="D172" s="9" t="s">
        <v>14</v>
      </c>
      <c r="E172" s="9" t="s">
        <v>15</v>
      </c>
      <c r="F172" s="8" t="s">
        <v>0</v>
      </c>
      <c r="G172" s="10" t="s">
        <v>1</v>
      </c>
    </row>
    <row r="173" spans="2:7" ht="12" customHeight="1" thickBot="1" x14ac:dyDescent="0.3">
      <c r="B173" s="11" t="s">
        <v>43</v>
      </c>
      <c r="C173" s="12">
        <v>2305</v>
      </c>
      <c r="D173" s="13">
        <f>C173</f>
        <v>2305</v>
      </c>
      <c r="E173" s="13">
        <f>D173</f>
        <v>2305</v>
      </c>
      <c r="F173" s="16"/>
      <c r="G173" s="15"/>
    </row>
    <row r="174" spans="2:7" s="1" customFormat="1" ht="10.95" customHeight="1" x14ac:dyDescent="0.2"/>
    <row r="175" spans="2:7" s="1" customFormat="1" ht="10.95" customHeight="1" x14ac:dyDescent="0.2"/>
    <row r="176" spans="2:7" s="1" customFormat="1" ht="10.95" customHeight="1" x14ac:dyDescent="0.25">
      <c r="B176" s="2" t="s">
        <v>62</v>
      </c>
    </row>
    <row r="177" spans="2:10" ht="24" customHeight="1" x14ac:dyDescent="0.2">
      <c r="B177" s="7"/>
      <c r="C177" s="8" t="s">
        <v>28</v>
      </c>
      <c r="D177" s="9" t="s">
        <v>14</v>
      </c>
      <c r="E177" s="9" t="s">
        <v>15</v>
      </c>
      <c r="F177" s="8" t="s">
        <v>0</v>
      </c>
      <c r="G177" s="10" t="s">
        <v>1</v>
      </c>
    </row>
    <row r="178" spans="2:10" ht="12" customHeight="1" x14ac:dyDescent="0.25">
      <c r="B178" s="11" t="s">
        <v>43</v>
      </c>
      <c r="C178" s="12">
        <v>50601.64</v>
      </c>
      <c r="D178" s="13">
        <v>50601.64</v>
      </c>
      <c r="E178" s="13">
        <v>50601.64</v>
      </c>
      <c r="F178" s="16"/>
      <c r="G178" s="15"/>
    </row>
    <row r="179" spans="2:10" s="1" customFormat="1" ht="10.95" customHeight="1" x14ac:dyDescent="0.2"/>
    <row r="180" spans="2:10" s="1" customFormat="1" ht="10.95" customHeight="1" x14ac:dyDescent="0.2"/>
    <row r="181" spans="2:10" s="1" customFormat="1" ht="10.95" customHeight="1" thickBot="1" x14ac:dyDescent="0.3">
      <c r="B181" s="25" t="s">
        <v>74</v>
      </c>
    </row>
    <row r="182" spans="2:10" ht="24" customHeight="1" thickBot="1" x14ac:dyDescent="0.25">
      <c r="B182" s="26"/>
      <c r="C182" s="8" t="s">
        <v>66</v>
      </c>
      <c r="D182" s="8" t="s">
        <v>67</v>
      </c>
      <c r="E182" s="8" t="s">
        <v>68</v>
      </c>
      <c r="F182" s="8" t="s">
        <v>69</v>
      </c>
      <c r="G182" s="9" t="s">
        <v>14</v>
      </c>
      <c r="H182" s="9" t="s">
        <v>15</v>
      </c>
      <c r="I182" s="8" t="s">
        <v>0</v>
      </c>
      <c r="J182" s="10" t="s">
        <v>1</v>
      </c>
    </row>
    <row r="183" spans="2:10" ht="12" customHeight="1" thickBot="1" x14ac:dyDescent="0.3">
      <c r="B183" s="27" t="s">
        <v>43</v>
      </c>
      <c r="C183" s="12">
        <f>D67</f>
        <v>20597</v>
      </c>
      <c r="D183" s="12">
        <f>D71</f>
        <v>9744</v>
      </c>
      <c r="E183" s="12">
        <f>D76</f>
        <v>44861.34</v>
      </c>
      <c r="F183" s="12">
        <f>D81</f>
        <v>1467</v>
      </c>
      <c r="G183" s="13">
        <f>SUM(C183:F183)</f>
        <v>76669.34</v>
      </c>
      <c r="H183" s="13">
        <f>G183</f>
        <v>76669.34</v>
      </c>
      <c r="I183" s="16"/>
      <c r="J183" s="15"/>
    </row>
    <row r="184" spans="2:10" s="1" customFormat="1" ht="10.95" customHeight="1" x14ac:dyDescent="0.2">
      <c r="B184" s="28"/>
    </row>
    <row r="185" spans="2:10" s="1" customFormat="1" ht="10.95" customHeight="1" thickBot="1" x14ac:dyDescent="0.3">
      <c r="B185" s="25" t="s">
        <v>75</v>
      </c>
    </row>
    <row r="186" spans="2:10" s="1" customFormat="1" ht="25.8" customHeight="1" thickBot="1" x14ac:dyDescent="0.25">
      <c r="B186" s="26"/>
      <c r="C186" s="8" t="s">
        <v>76</v>
      </c>
      <c r="D186" s="9" t="s">
        <v>14</v>
      </c>
      <c r="E186" s="9" t="s">
        <v>15</v>
      </c>
      <c r="F186" s="8" t="s">
        <v>0</v>
      </c>
      <c r="G186" s="10" t="s">
        <v>1</v>
      </c>
    </row>
    <row r="187" spans="2:10" s="1" customFormat="1" ht="15" customHeight="1" thickBot="1" x14ac:dyDescent="0.3">
      <c r="B187" s="27" t="s">
        <v>43</v>
      </c>
      <c r="C187" s="12">
        <f>D90</f>
        <v>814.08</v>
      </c>
      <c r="D187" s="13">
        <f>SUM(C187:C187)</f>
        <v>814.08</v>
      </c>
      <c r="E187" s="13">
        <f>D187</f>
        <v>814.08</v>
      </c>
      <c r="F187" s="16"/>
      <c r="G187" s="15"/>
    </row>
    <row r="188" spans="2:10" s="1" customFormat="1" ht="10.95" customHeight="1" x14ac:dyDescent="0.2">
      <c r="B188" s="28"/>
    </row>
    <row r="189" spans="2:10" s="1" customFormat="1" ht="10.95" customHeight="1" x14ac:dyDescent="0.2">
      <c r="B189" s="28"/>
    </row>
    <row r="190" spans="2:10" s="1" customFormat="1" ht="10.95" customHeight="1" thickBot="1" x14ac:dyDescent="0.3">
      <c r="B190" s="25" t="s">
        <v>63</v>
      </c>
    </row>
    <row r="191" spans="2:10" ht="24" customHeight="1" x14ac:dyDescent="0.2">
      <c r="B191" s="26"/>
      <c r="C191" s="8" t="s">
        <v>7</v>
      </c>
      <c r="D191" s="9" t="s">
        <v>14</v>
      </c>
      <c r="E191" s="9" t="s">
        <v>15</v>
      </c>
      <c r="F191" s="8" t="s">
        <v>0</v>
      </c>
      <c r="G191" s="10" t="s">
        <v>1</v>
      </c>
    </row>
    <row r="192" spans="2:10" ht="12" customHeight="1" x14ac:dyDescent="0.25">
      <c r="B192" s="27" t="s">
        <v>43</v>
      </c>
      <c r="C192" s="12">
        <v>3567</v>
      </c>
      <c r="D192" s="13">
        <f>C192</f>
        <v>3567</v>
      </c>
      <c r="E192" s="13">
        <f>D192</f>
        <v>3567</v>
      </c>
      <c r="F192" s="16"/>
      <c r="G192" s="15"/>
    </row>
    <row r="193" spans="2:32" s="1" customFormat="1" ht="10.95" customHeight="1" x14ac:dyDescent="0.2">
      <c r="B193" s="28"/>
    </row>
    <row r="194" spans="2:32" s="1" customFormat="1" ht="10.95" customHeight="1" x14ac:dyDescent="0.2">
      <c r="B194" s="28"/>
    </row>
    <row r="195" spans="2:32" s="1" customFormat="1" ht="10.95" customHeight="1" thickBot="1" x14ac:dyDescent="0.3">
      <c r="B195" s="25" t="s">
        <v>64</v>
      </c>
    </row>
    <row r="196" spans="2:32" ht="24" customHeight="1" thickBot="1" x14ac:dyDescent="0.25">
      <c r="B196" s="26"/>
      <c r="C196" s="8" t="s">
        <v>5</v>
      </c>
      <c r="D196" s="9" t="s">
        <v>14</v>
      </c>
      <c r="E196" s="9" t="s">
        <v>15</v>
      </c>
      <c r="F196" s="8" t="s">
        <v>0</v>
      </c>
      <c r="G196" s="10" t="s">
        <v>1</v>
      </c>
    </row>
    <row r="197" spans="2:32" ht="12" customHeight="1" thickBot="1" x14ac:dyDescent="0.3">
      <c r="B197" s="11" t="s">
        <v>43</v>
      </c>
      <c r="C197" s="12">
        <v>1500</v>
      </c>
      <c r="D197" s="13">
        <f>C197</f>
        <v>1500</v>
      </c>
      <c r="E197" s="13">
        <f>D197</f>
        <v>1500</v>
      </c>
      <c r="F197" s="16"/>
      <c r="G197" s="15"/>
    </row>
    <row r="198" spans="2:32" s="1" customFormat="1" ht="10.95" customHeight="1" x14ac:dyDescent="0.2"/>
    <row r="199" spans="2:32" s="1" customFormat="1" ht="10.95" customHeight="1" x14ac:dyDescent="0.2"/>
    <row r="200" spans="2:32" s="1" customFormat="1" ht="10.95" customHeight="1" x14ac:dyDescent="0.2"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</row>
    <row r="201" spans="2:32" s="1" customFormat="1" ht="10.95" customHeight="1" x14ac:dyDescent="0.2"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</row>
    <row r="202" spans="2:32" s="1" customFormat="1" ht="10.95" customHeight="1" x14ac:dyDescent="0.2"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</row>
    <row r="203" spans="2:32" s="1" customFormat="1" ht="10.95" customHeight="1" thickBot="1" x14ac:dyDescent="0.3">
      <c r="B203" s="2" t="s">
        <v>73</v>
      </c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</row>
    <row r="204" spans="2:32" ht="24" customHeight="1" thickBot="1" x14ac:dyDescent="0.25">
      <c r="B204" s="7"/>
      <c r="C204" s="8" t="s">
        <v>77</v>
      </c>
      <c r="D204" s="8" t="s">
        <v>78</v>
      </c>
      <c r="E204" s="8" t="s">
        <v>79</v>
      </c>
      <c r="F204" s="8" t="s">
        <v>80</v>
      </c>
      <c r="G204" s="8" t="s">
        <v>81</v>
      </c>
      <c r="H204" s="8" t="s">
        <v>82</v>
      </c>
      <c r="I204" s="8" t="s">
        <v>83</v>
      </c>
      <c r="J204" s="29" t="s">
        <v>84</v>
      </c>
      <c r="K204" s="33" t="s">
        <v>85</v>
      </c>
      <c r="L204" s="34" t="s">
        <v>14</v>
      </c>
      <c r="M204" s="34" t="s">
        <v>15</v>
      </c>
      <c r="N204" s="35" t="s">
        <v>0</v>
      </c>
      <c r="O204" s="36" t="s">
        <v>1</v>
      </c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0"/>
      <c r="AD204" s="30"/>
      <c r="AE204" s="30"/>
      <c r="AF204" s="30"/>
    </row>
    <row r="205" spans="2:32" ht="12" customHeight="1" thickBot="1" x14ac:dyDescent="0.3">
      <c r="B205" s="11" t="s">
        <v>43</v>
      </c>
      <c r="C205" s="12">
        <f>E161</f>
        <v>119932</v>
      </c>
      <c r="D205" s="12">
        <f>E165</f>
        <v>2998</v>
      </c>
      <c r="E205" s="12">
        <f>E169</f>
        <v>22000</v>
      </c>
      <c r="F205" s="12">
        <f>E173</f>
        <v>2305</v>
      </c>
      <c r="G205" s="12">
        <f>E178</f>
        <v>50601.64</v>
      </c>
      <c r="H205" s="12">
        <f>H183</f>
        <v>76669.34</v>
      </c>
      <c r="I205" s="12">
        <f>E187</f>
        <v>814.08</v>
      </c>
      <c r="J205" s="32">
        <f>E192</f>
        <v>3567</v>
      </c>
      <c r="K205" s="37">
        <f>E197</f>
        <v>1500</v>
      </c>
      <c r="L205" s="38">
        <f>SUM(C205:K205)</f>
        <v>280387.06</v>
      </c>
      <c r="M205" s="38">
        <f>C150+C155</f>
        <v>280387.06</v>
      </c>
      <c r="N205" s="39"/>
      <c r="O205" s="40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30"/>
      <c r="AD205" s="30"/>
      <c r="AE205" s="30"/>
      <c r="AF205" s="30"/>
    </row>
    <row r="206" spans="2:32" ht="11.4" customHeight="1" x14ac:dyDescent="0.2"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</row>
    <row r="207" spans="2:32" ht="11.4" customHeight="1" x14ac:dyDescent="0.2"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</row>
    <row r="208" spans="2:32" ht="11.4" customHeight="1" x14ac:dyDescent="0.2"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</row>
    <row r="209" spans="16:32" ht="11.4" customHeight="1" x14ac:dyDescent="0.2"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2026-01-13T17:19:35Z</dcterms:modified>
</cp:coreProperties>
</file>