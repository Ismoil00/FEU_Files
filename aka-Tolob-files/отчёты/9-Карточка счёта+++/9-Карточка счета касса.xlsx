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ФЭУ Флеш\1-050126\документы\Отчёты\"/>
    </mc:Choice>
  </mc:AlternateContent>
  <bookViews>
    <workbookView xWindow="0" yWindow="0" windowWidth="11400" windowHeight="5892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M50" i="1" l="1"/>
  <c r="I50" i="1"/>
  <c r="F50" i="1"/>
  <c r="I10" i="1" l="1"/>
  <c r="I11" i="1" s="1"/>
  <c r="I12" i="1" s="1"/>
  <c r="I13" i="1" s="1"/>
  <c r="M12" i="1"/>
  <c r="M13" i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11" i="1"/>
  <c r="M10" i="1"/>
  <c r="M9" i="1"/>
  <c r="I14" i="1" l="1"/>
  <c r="I15" i="1" s="1"/>
  <c r="F16" i="1"/>
  <c r="I17" i="1" s="1"/>
  <c r="I18" i="1" s="1"/>
  <c r="I19" i="1" s="1"/>
  <c r="F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F36" i="1" s="1"/>
  <c r="F37" i="1" s="1"/>
  <c r="I38" i="1" s="1"/>
  <c r="I39" i="1" s="1"/>
  <c r="I40" i="1" s="1"/>
  <c r="I41" i="1" s="1"/>
  <c r="I42" i="1" s="1"/>
  <c r="I43" i="1" s="1"/>
  <c r="I44" i="1" s="1"/>
  <c r="I46" i="1" l="1"/>
  <c r="I47" i="1" s="1"/>
  <c r="F48" i="1" s="1"/>
  <c r="I49" i="1" s="1"/>
  <c r="F45" i="1"/>
</calcChain>
</file>

<file path=xl/sharedStrings.xml><?xml version="1.0" encoding="utf-8"?>
<sst xmlns="http://schemas.openxmlformats.org/spreadsheetml/2006/main" count="263" uniqueCount="102">
  <si>
    <t>Аналитика Дт</t>
  </si>
  <si>
    <t>Аналитика Кт</t>
  </si>
  <si>
    <t>Дебет</t>
  </si>
  <si>
    <t>Кредит</t>
  </si>
  <si>
    <t>Счет</t>
  </si>
  <si>
    <t>Д</t>
  </si>
  <si>
    <t>Основная касса
Получено из банка наличными</t>
  </si>
  <si>
    <t>ЗАО "Казкоммерцбонк " TJS
Получено из банка наличными</t>
  </si>
  <si>
    <t>Основная касса
Оплата труда</t>
  </si>
  <si>
    <t>Основная касса
Выдано подотчётный сумма</t>
  </si>
  <si>
    <t>Основная касса
Оплата товаров, работ, услуг, сырья и иных оборотных активов</t>
  </si>
  <si>
    <t>Основная касса
Возврат полученные подочетные сумма</t>
  </si>
  <si>
    <t>Основная касса
Выручка от продажи товаров, продукции, работ и услуг</t>
  </si>
  <si>
    <t>ОАО "Ориёнбонк"  TJS
Получено из банка наличными</t>
  </si>
  <si>
    <t>Основная касса
Возврат оплаченое больше зарплата</t>
  </si>
  <si>
    <t>Основная касса
Оплата провсоюзный взнос</t>
  </si>
  <si>
    <t>ФЭУ</t>
  </si>
  <si>
    <t>Карточкаи счети 1 11 110 за Январь 2025 с.</t>
  </si>
  <si>
    <t>Номгуи счёт: Воситаҳои пулӣ бо асъори миллӣ</t>
  </si>
  <si>
    <t>Давра</t>
  </si>
  <si>
    <t>Хуччат</t>
  </si>
  <si>
    <t>Салдои ҷорӣ</t>
  </si>
  <si>
    <t>Приходный кассовый ордер 00000000001 от 03.01.2025 14:06:01
Получение наличных в банке</t>
  </si>
  <si>
    <t>Ҷалилов Ҷалил Ҷалилович</t>
  </si>
  <si>
    <t>Расходный кассовый ордер 00000000005 от 04.01.2025 13:16:16
Выдача средств подотчетнику</t>
  </si>
  <si>
    <t>Расходный кассовый ордер 00000000006 от 04.01.2025 13:18:13
Выдача средств подотчетнику</t>
  </si>
  <si>
    <t>Расходный кассовый ордер 00000000007 от 04.01.2025 13:24:35
Выплата з/п по ведомости №00000000001 от 04.01.19</t>
  </si>
  <si>
    <t>Приходный кассовый ордер 00000000002 от 14.01.2025 12:50:25
Возврат средств от подотчетника</t>
  </si>
  <si>
    <t>Расходный кассовый ордер 00000000008 от 14.01.2025 13:21:41
Выдача средств подотчетнику</t>
  </si>
  <si>
    <t>Расходный кассовый ордер 00000000010 от 15.01.2025 10:03:34
Выдача средств подотчетнику</t>
  </si>
  <si>
    <t>Приходный кассовый ордер 00000000003 от 17.01.2025 15:08:20
Даромад аз фуруши кислотаи сулфат</t>
  </si>
  <si>
    <t>Расходный кассовый ордер 00000000028 от 21.01.2025 15:15:54
Прочие расходы</t>
  </si>
  <si>
    <t>Расходный кассовый ордер 00000000029 от 22.01.2025 9:24:41
Выплата з/п по ведомости №00000000036 от 21.01.19</t>
  </si>
  <si>
    <t>Расходный кассовый ордер 00000000001 от 03.01.2025 14:41:42
Выплата з/п</t>
  </si>
  <si>
    <t>Расходный кассовый ордер 00000000004 от 04.01.2025 12:50:10
Пардохт мувофиқи қарордод №09 от 02.01.2025</t>
  </si>
  <si>
    <t>Расходный кассовый ордер 00000000011 от 15.01.2025 14:12:05
Пардохт мувофиқи қарордод №09 от 02.01.2025</t>
  </si>
  <si>
    <t>Расходный кассовый ордер 00000000014 от 18.01.2025 8:23:29
Бовариномаи №01 аз 18.01.2025 сол ба воситаи Раҷаб</t>
  </si>
  <si>
    <t>Расходный кассовый ордер 00000000029 от 22.01.2025 9:24:41
Выплата з/п по ведомости №00000000037 от 21.01.19</t>
  </si>
  <si>
    <t>Расходный кассовый ордер 00000000031 от 22.01.2025 9:53:21
Пардохт мувофиқи қарордоди №09 от 02.01.2025</t>
  </si>
  <si>
    <t>Приходный кассовый ордер 00000000006 от 22.01.2025 10:15:42
Даромад аз фуруши кислотаи сулфат</t>
  </si>
  <si>
    <t>Приходный кассовый ордер 00000000007 от 22.01.2025 11:21:04
Возврат средств от подотчетника</t>
  </si>
  <si>
    <t>Расходный кассовый ордер 00000000032 от 22.01.2025 13:16:47
Выдача средств подотчетнику</t>
  </si>
  <si>
    <t>Расходный кассовый ордер 00000000034 от 23.01.2025 12:56:18
Выдача средств подотчетнику</t>
  </si>
  <si>
    <t>Расходный кассовый ордер 00000000035 от 23.01.2025 14:04:30
Пардохт мувофиқи шарномаи иҷора №02</t>
  </si>
  <si>
    <t>Расходный кассовый ордер 00000000038 от 24.01.2025 9:20:08
Выплата з/п по ведомости №00000000041 от 24.01.19</t>
  </si>
  <si>
    <t>Расходный кассовый ордер 00000000039 от 24.01.2025 9:38:33
Выплата з/п</t>
  </si>
  <si>
    <t>Расходный кассовый ордер 00000000040 от 24.01.2025 15:03:58
Выдача средств подотчетнику</t>
  </si>
  <si>
    <t>Приходный кассовый ордер 00000000008 от 28.01.2025 12:28:12
Получение наличных в банке</t>
  </si>
  <si>
    <t>Расходный кассовый ордер 00000000043 от 28.01.2025 14:36:42
Оплата</t>
  </si>
  <si>
    <t>Расходный кассовый ордер 00000000043 от 28.01.2025 14:36:42
Боваринома №03 аз  28.01.2025 сол ба воситаи Каром</t>
  </si>
  <si>
    <t>Приходный кассовый ордер 00000000010 от 29.01.2025 8:53:17
Баргардонидани барзиёд гирифтани музди меҳнат</t>
  </si>
  <si>
    <t>Расходный кассовый ордер 00000000044 от 29.01.2025 14:16:14
Выдача средств подотчетнику</t>
  </si>
  <si>
    <t>Гардиши давра ва салдо дар охир</t>
  </si>
  <si>
    <t>Салдо дар аввал</t>
  </si>
  <si>
    <t>1 11 110</t>
  </si>
  <si>
    <t>1 11 254</t>
  </si>
  <si>
    <t>2 11 510</t>
  </si>
  <si>
    <t>1 15 100</t>
  </si>
  <si>
    <t>Пешпардохтҳои додашуда барои молхо</t>
  </si>
  <si>
    <t>Музди меҳнат барои пардохт</t>
  </si>
  <si>
    <t>аз бонк гирифта шуд (Суратхисоб)</t>
  </si>
  <si>
    <t>«1 14 610»</t>
  </si>
  <si>
    <t>Қарздориҳои дебитории шахсҳои ҳисобдеҳ</t>
  </si>
  <si>
    <t xml:space="preserve">Пешпардохтҳои гирифташуда </t>
  </si>
  <si>
    <t>«2 11 120»</t>
  </si>
  <si>
    <t>баргардонидани маоши барзиёд гирифташуда</t>
  </si>
  <si>
    <t>«2 11 110»</t>
  </si>
  <si>
    <t>Ҳисобҳо барои пардохт</t>
  </si>
  <si>
    <t>Музди меҳнат пардохт шуд</t>
  </si>
  <si>
    <t xml:space="preserve">Аъзоҳаққии иттифоқи касаба барои пардохт - ба иттифоқи касабаи муассиса </t>
  </si>
  <si>
    <t>«2 11 542»</t>
  </si>
  <si>
    <t>Курбонов Курбон Курбонович
№9 от 02.01.2025</t>
  </si>
  <si>
    <t>Иброҳимов Иброҳим Иброҳимович
Хозяйственные расходы</t>
  </si>
  <si>
    <t>Нуров Нур Нурович
Хозяйственные расходы</t>
  </si>
  <si>
    <t>Ташрифов Ташриф Ташрифович</t>
  </si>
  <si>
    <t>Наимов Наим Наимович
Хозяйственные расходы</t>
  </si>
  <si>
    <t>Алишеров А.
Хозяйственные расходы</t>
  </si>
  <si>
    <t>Нуров Н.
№9 от 02.01.2025</t>
  </si>
  <si>
    <t>ЧДММ "ААА"
№17/01/2025 от 17.01.2025</t>
  </si>
  <si>
    <t>ООО "БББ"
№02/02/18 от 10.01.2018</t>
  </si>
  <si>
    <t>Умаров Умар</t>
  </si>
  <si>
    <t>Акбаров Акбар</t>
  </si>
  <si>
    <t>Аҳмадов А.</t>
  </si>
  <si>
    <t>Раджабова Г.</t>
  </si>
  <si>
    <t>Хуршедов Х.</t>
  </si>
  <si>
    <t>Диловаров Д.</t>
  </si>
  <si>
    <t>ҶДММ "ССС"
С поставщиком</t>
  </si>
  <si>
    <t>Акбаров А.
Хозяйственные расходы</t>
  </si>
  <si>
    <t>Саидов С.</t>
  </si>
  <si>
    <t>Сахаров С.</t>
  </si>
  <si>
    <t>Миров М.</t>
  </si>
  <si>
    <t>Раҳмонов Р.
№10 от 25.01.2025</t>
  </si>
  <si>
    <t>Хасанов Х.
Командировочные расходы</t>
  </si>
  <si>
    <t>Курбонов К.
Командировочные расходы</t>
  </si>
  <si>
    <t>Шариф Ш.
Хозяйственные расходы</t>
  </si>
  <si>
    <t>ЧДММ "1234"
№05/10/2025 от 05.10.2025</t>
  </si>
  <si>
    <t>Курбонов К.
№9 от 02.01.2025</t>
  </si>
  <si>
    <t>Муродов М.</t>
  </si>
  <si>
    <t>Фируза А.</t>
  </si>
  <si>
    <t>Умаров У.</t>
  </si>
  <si>
    <t>Азимзода А.</t>
  </si>
  <si>
    <t>Подсказка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</si>
</sst>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b/>
      <i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20">
    <border>
      <left/>
      <right/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/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/>
      <top style="thin">
        <color rgb="FFACC8BD"/>
      </top>
      <bottom/>
      <diagonal/>
    </border>
    <border>
      <left/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/>
      <bottom style="thin">
        <color rgb="FFACC8BD"/>
      </bottom>
      <diagonal/>
    </border>
    <border>
      <left/>
      <right style="thin">
        <color rgb="FFACC8BD"/>
      </right>
      <top/>
      <bottom style="thin">
        <color rgb="FFACC8BD"/>
      </bottom>
      <diagonal/>
    </border>
    <border>
      <left style="thin">
        <color rgb="FFACC8BD"/>
      </left>
      <right/>
      <top/>
      <bottom style="thin">
        <color rgb="FFACC8B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5" fillId="3" borderId="14" xfId="0" applyFont="1" applyFill="1" applyBorder="1" applyAlignment="1">
      <alignment horizontal="center" vertical="top"/>
    </xf>
    <xf numFmtId="14" fontId="0" fillId="0" borderId="12" xfId="0" applyNumberFormat="1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/>
    <xf numFmtId="0" fontId="4" fillId="3" borderId="1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2" fontId="5" fillId="0" borderId="0" xfId="0" applyNumberFormat="1" applyFont="1" applyFill="1" applyBorder="1" applyAlignment="1">
      <alignment horizontal="right" vertical="top" wrapText="1"/>
    </xf>
    <xf numFmtId="4" fontId="0" fillId="0" borderId="0" xfId="0" applyNumberFormat="1" applyFill="1" applyBorder="1" applyAlignment="1">
      <alignment horizontal="right" vertical="top" wrapText="1"/>
    </xf>
    <xf numFmtId="4" fontId="4" fillId="0" borderId="0" xfId="0" applyNumberFormat="1" applyFont="1" applyFill="1" applyBorder="1" applyAlignment="1">
      <alignment horizontal="right" vertical="top" wrapText="1"/>
    </xf>
    <xf numFmtId="0" fontId="5" fillId="3" borderId="13" xfId="0" applyFont="1" applyFill="1" applyBorder="1" applyAlignment="1">
      <alignment horizontal="left" vertical="top"/>
    </xf>
    <xf numFmtId="0" fontId="5" fillId="3" borderId="13" xfId="0" applyFont="1" applyFill="1" applyBorder="1" applyAlignment="1">
      <alignment horizontal="right" vertical="top"/>
    </xf>
    <xf numFmtId="2" fontId="5" fillId="3" borderId="15" xfId="0" applyNumberFormat="1" applyFont="1" applyFill="1" applyBorder="1" applyAlignment="1">
      <alignment horizontal="right" vertical="top" wrapText="1"/>
    </xf>
    <xf numFmtId="0" fontId="0" fillId="0" borderId="12" xfId="0" applyBorder="1" applyAlignment="1">
      <alignment horizontal="left" vertical="top" wrapText="1"/>
    </xf>
    <xf numFmtId="4" fontId="0" fillId="0" borderId="12" xfId="0" applyNumberFormat="1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2" fontId="0" fillId="0" borderId="12" xfId="0" applyNumberFormat="1" applyBorder="1" applyAlignment="1">
      <alignment horizontal="right" vertical="top" wrapText="1"/>
    </xf>
    <xf numFmtId="0" fontId="4" fillId="3" borderId="16" xfId="0" applyFont="1" applyFill="1" applyBorder="1" applyAlignment="1">
      <alignment horizontal="left" vertical="top"/>
    </xf>
    <xf numFmtId="4" fontId="4" fillId="3" borderId="16" xfId="0" applyNumberFormat="1" applyFont="1" applyFill="1" applyBorder="1" applyAlignment="1">
      <alignment horizontal="right" vertical="top" wrapText="1"/>
    </xf>
    <xf numFmtId="4" fontId="4" fillId="3" borderId="17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Q50"/>
  <sheetViews>
    <sheetView tabSelected="1" workbookViewId="0">
      <selection activeCell="I50" sqref="I50:K50"/>
    </sheetView>
  </sheetViews>
  <sheetFormatPr defaultColWidth="10.42578125" defaultRowHeight="11.4" customHeight="1" outlineLevelRow="1" x14ac:dyDescent="0.2"/>
  <cols>
    <col min="1" max="1" width="10" style="1" customWidth="1"/>
    <col min="2" max="2" width="8.85546875" style="1" customWidth="1"/>
    <col min="3" max="3" width="11.140625" style="1" customWidth="1"/>
    <col min="4" max="5" width="19.85546875" style="1" customWidth="1"/>
    <col min="6" max="6" width="10.140625" style="1" bestFit="1" customWidth="1"/>
    <col min="7" max="7" width="4.7109375" style="1" customWidth="1"/>
    <col min="8" max="8" width="14" style="1" customWidth="1"/>
    <col min="9" max="9" width="14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3.28515625" style="1" customWidth="1"/>
    <col min="14" max="14" width="13" style="1" customWidth="1"/>
    <col min="15" max="16" width="13" style="14" customWidth="1"/>
    <col min="17" max="17" width="69.28515625" style="4" bestFit="1" customWidth="1"/>
  </cols>
  <sheetData>
    <row r="1" spans="1:17" ht="13.05" customHeight="1" x14ac:dyDescent="0.25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7" ht="16.05" customHeight="1" x14ac:dyDescent="0.3">
      <c r="A2" s="26" t="s">
        <v>17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7" s="1" customFormat="1" ht="1.95" customHeight="1" x14ac:dyDescent="0.2">
      <c r="O3" s="14"/>
      <c r="P3" s="14"/>
      <c r="Q3" s="4"/>
    </row>
    <row r="4" spans="1:17" ht="10.95" customHeight="1" x14ac:dyDescent="0.2">
      <c r="A4" s="27"/>
      <c r="B4" s="27"/>
      <c r="C4" s="27" t="s">
        <v>18</v>
      </c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7" s="1" customFormat="1" ht="1.95" customHeight="1" x14ac:dyDescent="0.2">
      <c r="O5" s="14"/>
      <c r="P5" s="14"/>
      <c r="Q5" s="4"/>
    </row>
    <row r="6" spans="1:17" ht="13.05" customHeight="1" x14ac:dyDescent="0.2">
      <c r="A6" s="28" t="s">
        <v>19</v>
      </c>
      <c r="B6" s="30" t="s">
        <v>20</v>
      </c>
      <c r="C6" s="30"/>
      <c r="D6" s="30" t="s">
        <v>0</v>
      </c>
      <c r="E6" s="33" t="s">
        <v>1</v>
      </c>
      <c r="F6" s="35" t="s">
        <v>2</v>
      </c>
      <c r="G6" s="35"/>
      <c r="H6" s="35"/>
      <c r="I6" s="36" t="s">
        <v>3</v>
      </c>
      <c r="J6" s="36"/>
      <c r="K6" s="36"/>
      <c r="L6" s="30" t="s">
        <v>21</v>
      </c>
      <c r="M6" s="30"/>
      <c r="N6" s="30"/>
      <c r="O6" s="15"/>
      <c r="P6" s="15"/>
    </row>
    <row r="7" spans="1:17" ht="22.2" customHeight="1" x14ac:dyDescent="0.2">
      <c r="A7" s="29"/>
      <c r="B7" s="29"/>
      <c r="C7" s="31"/>
      <c r="D7" s="32"/>
      <c r="E7" s="34"/>
      <c r="F7" s="2" t="s">
        <v>4</v>
      </c>
      <c r="G7" s="37"/>
      <c r="H7" s="37"/>
      <c r="I7" s="3" t="s">
        <v>4</v>
      </c>
      <c r="J7" s="38"/>
      <c r="K7" s="38"/>
      <c r="L7" s="29"/>
      <c r="M7" s="34"/>
      <c r="N7" s="31"/>
      <c r="O7" s="15"/>
      <c r="P7" s="15"/>
      <c r="Q7" s="43" t="s">
        <v>101</v>
      </c>
    </row>
    <row r="8" spans="1:17" ht="10.95" customHeight="1" x14ac:dyDescent="0.2">
      <c r="A8" s="19" t="s">
        <v>53</v>
      </c>
      <c r="B8" s="19"/>
      <c r="C8" s="19"/>
      <c r="D8" s="19"/>
      <c r="E8" s="19"/>
      <c r="F8" s="20"/>
      <c r="G8" s="20"/>
      <c r="H8" s="20"/>
      <c r="I8" s="20"/>
      <c r="J8" s="20"/>
      <c r="K8" s="20"/>
      <c r="L8" s="5" t="s">
        <v>5</v>
      </c>
      <c r="M8" s="21">
        <v>472.59</v>
      </c>
      <c r="N8" s="21"/>
      <c r="O8" s="16"/>
      <c r="P8" s="16"/>
    </row>
    <row r="9" spans="1:17" ht="67.05" customHeight="1" outlineLevel="1" x14ac:dyDescent="0.2">
      <c r="A9" s="6">
        <v>45660</v>
      </c>
      <c r="B9" s="22" t="s">
        <v>22</v>
      </c>
      <c r="C9" s="22"/>
      <c r="D9" s="7" t="s">
        <v>6</v>
      </c>
      <c r="E9" s="7" t="s">
        <v>7</v>
      </c>
      <c r="F9" s="8" t="s">
        <v>54</v>
      </c>
      <c r="G9" s="23">
        <v>30000</v>
      </c>
      <c r="H9" s="23"/>
      <c r="I9" s="8" t="s">
        <v>55</v>
      </c>
      <c r="J9" s="24"/>
      <c r="K9" s="24"/>
      <c r="L9" s="9" t="s">
        <v>5</v>
      </c>
      <c r="M9" s="23">
        <f>M8+G9-J9</f>
        <v>30472.59</v>
      </c>
      <c r="N9" s="23"/>
      <c r="O9" s="17"/>
      <c r="P9" s="17"/>
      <c r="Q9" s="11" t="s">
        <v>60</v>
      </c>
    </row>
    <row r="10" spans="1:17" ht="55.95" customHeight="1" outlineLevel="1" x14ac:dyDescent="0.2">
      <c r="A10" s="6">
        <v>45660</v>
      </c>
      <c r="B10" s="22" t="s">
        <v>33</v>
      </c>
      <c r="C10" s="22"/>
      <c r="D10" s="7" t="s">
        <v>23</v>
      </c>
      <c r="E10" s="7" t="s">
        <v>8</v>
      </c>
      <c r="F10" s="8" t="s">
        <v>56</v>
      </c>
      <c r="G10" s="24"/>
      <c r="H10" s="24"/>
      <c r="I10" s="8" t="str">
        <f>F9</f>
        <v>1 11 110</v>
      </c>
      <c r="J10" s="23">
        <v>2000</v>
      </c>
      <c r="K10" s="23"/>
      <c r="L10" s="9" t="s">
        <v>5</v>
      </c>
      <c r="M10" s="23">
        <f>M9+G10-J10</f>
        <v>28472.59</v>
      </c>
      <c r="N10" s="23"/>
      <c r="O10" s="17"/>
      <c r="P10" s="17"/>
      <c r="Q10" s="11" t="s">
        <v>59</v>
      </c>
    </row>
    <row r="11" spans="1:17" ht="78" customHeight="1" outlineLevel="1" x14ac:dyDescent="0.2">
      <c r="A11" s="6">
        <v>45661</v>
      </c>
      <c r="B11" s="22" t="s">
        <v>34</v>
      </c>
      <c r="C11" s="22"/>
      <c r="D11" s="7" t="s">
        <v>71</v>
      </c>
      <c r="E11" s="7" t="s">
        <v>10</v>
      </c>
      <c r="F11" s="8" t="s">
        <v>57</v>
      </c>
      <c r="G11" s="24"/>
      <c r="H11" s="24"/>
      <c r="I11" s="8" t="str">
        <f>I10</f>
        <v>1 11 110</v>
      </c>
      <c r="J11" s="23">
        <v>1800</v>
      </c>
      <c r="K11" s="23"/>
      <c r="L11" s="9" t="s">
        <v>5</v>
      </c>
      <c r="M11" s="23">
        <f>M10+G11-J11</f>
        <v>26672.59</v>
      </c>
      <c r="N11" s="23"/>
      <c r="O11" s="17"/>
      <c r="P11" s="17"/>
      <c r="Q11" s="11" t="s">
        <v>58</v>
      </c>
    </row>
    <row r="12" spans="1:17" ht="67.05" customHeight="1" outlineLevel="1" x14ac:dyDescent="0.2">
      <c r="A12" s="6">
        <v>45661</v>
      </c>
      <c r="B12" s="22" t="s">
        <v>24</v>
      </c>
      <c r="C12" s="22"/>
      <c r="D12" s="7" t="s">
        <v>72</v>
      </c>
      <c r="E12" s="7" t="s">
        <v>9</v>
      </c>
      <c r="F12" s="8" t="s">
        <v>61</v>
      </c>
      <c r="G12" s="24"/>
      <c r="H12" s="24"/>
      <c r="I12" s="8" t="str">
        <f>I11</f>
        <v>1 11 110</v>
      </c>
      <c r="J12" s="23">
        <v>2600</v>
      </c>
      <c r="K12" s="23"/>
      <c r="L12" s="9" t="s">
        <v>5</v>
      </c>
      <c r="M12" s="23">
        <f t="shared" ref="M12:M49" si="0">M11+G12-J12</f>
        <v>24072.59</v>
      </c>
      <c r="N12" s="23"/>
      <c r="O12" s="17"/>
      <c r="P12" s="17"/>
      <c r="Q12" s="4" t="s">
        <v>62</v>
      </c>
    </row>
    <row r="13" spans="1:17" ht="67.05" customHeight="1" outlineLevel="1" x14ac:dyDescent="0.2">
      <c r="A13" s="6">
        <v>45661</v>
      </c>
      <c r="B13" s="22" t="s">
        <v>25</v>
      </c>
      <c r="C13" s="22"/>
      <c r="D13" s="7" t="s">
        <v>73</v>
      </c>
      <c r="E13" s="7" t="s">
        <v>9</v>
      </c>
      <c r="F13" s="8" t="s">
        <v>61</v>
      </c>
      <c r="G13" s="24"/>
      <c r="H13" s="24"/>
      <c r="I13" s="8" t="str">
        <f>I12</f>
        <v>1 11 110</v>
      </c>
      <c r="J13" s="23">
        <v>1800</v>
      </c>
      <c r="K13" s="23"/>
      <c r="L13" s="9" t="s">
        <v>5</v>
      </c>
      <c r="M13" s="23">
        <f t="shared" si="0"/>
        <v>22272.59</v>
      </c>
      <c r="N13" s="23"/>
      <c r="O13" s="17"/>
      <c r="P13" s="17"/>
      <c r="Q13" s="4" t="s">
        <v>62</v>
      </c>
    </row>
    <row r="14" spans="1:17" ht="88.95" customHeight="1" outlineLevel="1" x14ac:dyDescent="0.2">
      <c r="A14" s="6">
        <v>45661</v>
      </c>
      <c r="B14" s="22" t="s">
        <v>26</v>
      </c>
      <c r="C14" s="22"/>
      <c r="D14" s="7" t="s">
        <v>74</v>
      </c>
      <c r="E14" s="7" t="s">
        <v>8</v>
      </c>
      <c r="F14" s="8" t="s">
        <v>56</v>
      </c>
      <c r="G14" s="24"/>
      <c r="H14" s="24"/>
      <c r="I14" s="8" t="str">
        <f>I13</f>
        <v>1 11 110</v>
      </c>
      <c r="J14" s="39">
        <v>200</v>
      </c>
      <c r="K14" s="39"/>
      <c r="L14" s="9" t="s">
        <v>5</v>
      </c>
      <c r="M14" s="23">
        <f t="shared" si="0"/>
        <v>22072.59</v>
      </c>
      <c r="N14" s="23"/>
      <c r="O14" s="17"/>
      <c r="P14" s="17"/>
      <c r="Q14" s="11" t="s">
        <v>59</v>
      </c>
    </row>
    <row r="15" spans="1:17" ht="88.95" customHeight="1" outlineLevel="1" x14ac:dyDescent="0.2">
      <c r="A15" s="6">
        <v>45661</v>
      </c>
      <c r="B15" s="22" t="s">
        <v>26</v>
      </c>
      <c r="C15" s="22"/>
      <c r="D15" s="7" t="s">
        <v>71</v>
      </c>
      <c r="E15" s="7" t="s">
        <v>8</v>
      </c>
      <c r="F15" s="8" t="s">
        <v>56</v>
      </c>
      <c r="G15" s="24"/>
      <c r="H15" s="24"/>
      <c r="I15" s="8" t="str">
        <f>I14</f>
        <v>1 11 110</v>
      </c>
      <c r="J15" s="39">
        <v>100</v>
      </c>
      <c r="K15" s="39"/>
      <c r="L15" s="9" t="s">
        <v>5</v>
      </c>
      <c r="M15" s="23">
        <f t="shared" si="0"/>
        <v>21972.59</v>
      </c>
      <c r="N15" s="23"/>
      <c r="O15" s="17"/>
      <c r="P15" s="17"/>
      <c r="Q15" s="11" t="s">
        <v>59</v>
      </c>
    </row>
    <row r="16" spans="1:17" ht="67.05" customHeight="1" outlineLevel="1" x14ac:dyDescent="0.2">
      <c r="A16" s="6">
        <v>45671</v>
      </c>
      <c r="B16" s="22" t="s">
        <v>27</v>
      </c>
      <c r="C16" s="22"/>
      <c r="D16" s="7" t="s">
        <v>11</v>
      </c>
      <c r="E16" s="7" t="s">
        <v>75</v>
      </c>
      <c r="F16" s="8" t="str">
        <f>I13</f>
        <v>1 11 110</v>
      </c>
      <c r="G16" s="23">
        <v>4600</v>
      </c>
      <c r="H16" s="23"/>
      <c r="I16" s="8" t="s">
        <v>61</v>
      </c>
      <c r="J16" s="24"/>
      <c r="K16" s="24"/>
      <c r="L16" s="9" t="s">
        <v>5</v>
      </c>
      <c r="M16" s="23">
        <f t="shared" si="0"/>
        <v>26572.59</v>
      </c>
      <c r="N16" s="23"/>
      <c r="O16" s="17"/>
      <c r="P16" s="17"/>
      <c r="Q16" s="4" t="s">
        <v>62</v>
      </c>
    </row>
    <row r="17" spans="1:17" ht="67.05" customHeight="1" outlineLevel="1" x14ac:dyDescent="0.2">
      <c r="A17" s="6">
        <v>45671</v>
      </c>
      <c r="B17" s="22" t="s">
        <v>28</v>
      </c>
      <c r="C17" s="22"/>
      <c r="D17" s="7" t="s">
        <v>72</v>
      </c>
      <c r="E17" s="7" t="s">
        <v>9</v>
      </c>
      <c r="F17" s="8" t="s">
        <v>61</v>
      </c>
      <c r="G17" s="24"/>
      <c r="H17" s="24"/>
      <c r="I17" s="8" t="str">
        <f>F16</f>
        <v>1 11 110</v>
      </c>
      <c r="J17" s="23">
        <v>1920</v>
      </c>
      <c r="K17" s="23"/>
      <c r="L17" s="9" t="s">
        <v>5</v>
      </c>
      <c r="M17" s="23">
        <f t="shared" si="0"/>
        <v>24652.59</v>
      </c>
      <c r="N17" s="23"/>
      <c r="O17" s="17"/>
      <c r="P17" s="17"/>
      <c r="Q17" s="4" t="s">
        <v>62</v>
      </c>
    </row>
    <row r="18" spans="1:17" ht="67.05" customHeight="1" outlineLevel="1" x14ac:dyDescent="0.2">
      <c r="A18" s="6">
        <v>45672</v>
      </c>
      <c r="B18" s="22" t="s">
        <v>29</v>
      </c>
      <c r="C18" s="22"/>
      <c r="D18" s="7" t="s">
        <v>76</v>
      </c>
      <c r="E18" s="7" t="s">
        <v>9</v>
      </c>
      <c r="F18" s="8" t="s">
        <v>61</v>
      </c>
      <c r="G18" s="24"/>
      <c r="H18" s="24"/>
      <c r="I18" s="8" t="str">
        <f>I17</f>
        <v>1 11 110</v>
      </c>
      <c r="J18" s="39">
        <v>800</v>
      </c>
      <c r="K18" s="39"/>
      <c r="L18" s="9" t="s">
        <v>5</v>
      </c>
      <c r="M18" s="23">
        <f t="shared" si="0"/>
        <v>23852.59</v>
      </c>
      <c r="N18" s="23"/>
      <c r="O18" s="17"/>
      <c r="P18" s="17"/>
      <c r="Q18" s="4" t="s">
        <v>62</v>
      </c>
    </row>
    <row r="19" spans="1:17" ht="78" customHeight="1" outlineLevel="1" x14ac:dyDescent="0.2">
      <c r="A19" s="6">
        <v>45672</v>
      </c>
      <c r="B19" s="22" t="s">
        <v>35</v>
      </c>
      <c r="C19" s="22"/>
      <c r="D19" s="7" t="s">
        <v>77</v>
      </c>
      <c r="E19" s="7" t="s">
        <v>10</v>
      </c>
      <c r="F19" s="8" t="s">
        <v>57</v>
      </c>
      <c r="G19" s="24"/>
      <c r="H19" s="24"/>
      <c r="I19" s="8" t="str">
        <f>I18</f>
        <v>1 11 110</v>
      </c>
      <c r="J19" s="23">
        <v>2000</v>
      </c>
      <c r="K19" s="23"/>
      <c r="L19" s="9" t="s">
        <v>5</v>
      </c>
      <c r="M19" s="23">
        <f t="shared" si="0"/>
        <v>21852.59</v>
      </c>
      <c r="N19" s="23"/>
      <c r="O19" s="17"/>
      <c r="P19" s="17"/>
      <c r="Q19" s="11" t="s">
        <v>58</v>
      </c>
    </row>
    <row r="20" spans="1:17" ht="67.05" customHeight="1" outlineLevel="1" x14ac:dyDescent="0.2">
      <c r="A20" s="6">
        <v>45674</v>
      </c>
      <c r="B20" s="22" t="s">
        <v>30</v>
      </c>
      <c r="C20" s="22"/>
      <c r="D20" s="7" t="s">
        <v>12</v>
      </c>
      <c r="E20" s="7" t="s">
        <v>78</v>
      </c>
      <c r="F20" s="8" t="str">
        <f>I19</f>
        <v>1 11 110</v>
      </c>
      <c r="G20" s="23">
        <v>60000</v>
      </c>
      <c r="H20" s="23"/>
      <c r="I20" s="8" t="s">
        <v>64</v>
      </c>
      <c r="J20" s="24"/>
      <c r="K20" s="24"/>
      <c r="L20" s="9" t="s">
        <v>5</v>
      </c>
      <c r="M20" s="23">
        <f t="shared" si="0"/>
        <v>81852.59</v>
      </c>
      <c r="N20" s="23"/>
      <c r="O20" s="17"/>
      <c r="P20" s="17"/>
      <c r="Q20" s="12" t="s">
        <v>63</v>
      </c>
    </row>
    <row r="21" spans="1:17" ht="67.05" customHeight="1" outlineLevel="1" x14ac:dyDescent="0.2">
      <c r="A21" s="6">
        <v>45675</v>
      </c>
      <c r="B21" s="22" t="s">
        <v>36</v>
      </c>
      <c r="C21" s="22"/>
      <c r="D21" s="7" t="s">
        <v>79</v>
      </c>
      <c r="E21" s="7" t="s">
        <v>10</v>
      </c>
      <c r="F21" s="8" t="s">
        <v>57</v>
      </c>
      <c r="G21" s="24"/>
      <c r="H21" s="24"/>
      <c r="I21" s="8" t="str">
        <f>F20</f>
        <v>1 11 110</v>
      </c>
      <c r="J21" s="23">
        <v>2400</v>
      </c>
      <c r="K21" s="23"/>
      <c r="L21" s="9" t="s">
        <v>5</v>
      </c>
      <c r="M21" s="23">
        <f t="shared" si="0"/>
        <v>79452.59</v>
      </c>
      <c r="N21" s="23"/>
      <c r="O21" s="17"/>
      <c r="P21" s="17"/>
      <c r="Q21" s="4" t="s">
        <v>58</v>
      </c>
    </row>
    <row r="22" spans="1:17" ht="55.95" customHeight="1" outlineLevel="1" x14ac:dyDescent="0.2">
      <c r="A22" s="6">
        <v>45678</v>
      </c>
      <c r="B22" s="22" t="s">
        <v>31</v>
      </c>
      <c r="C22" s="22"/>
      <c r="D22" s="7"/>
      <c r="E22" s="7" t="s">
        <v>15</v>
      </c>
      <c r="F22" s="8" t="s">
        <v>70</v>
      </c>
      <c r="G22" s="24"/>
      <c r="H22" s="24"/>
      <c r="I22" s="8" t="str">
        <f>I21</f>
        <v>1 11 110</v>
      </c>
      <c r="J22" s="23">
        <v>3400</v>
      </c>
      <c r="K22" s="23"/>
      <c r="L22" s="9" t="s">
        <v>5</v>
      </c>
      <c r="M22" s="23">
        <f t="shared" si="0"/>
        <v>76052.59</v>
      </c>
      <c r="N22" s="23"/>
      <c r="O22" s="17"/>
      <c r="P22" s="17"/>
      <c r="Q22" s="4" t="s">
        <v>69</v>
      </c>
    </row>
    <row r="23" spans="1:17" ht="78" customHeight="1" outlineLevel="1" x14ac:dyDescent="0.2">
      <c r="A23" s="6">
        <v>45679</v>
      </c>
      <c r="B23" s="22" t="s">
        <v>32</v>
      </c>
      <c r="C23" s="22"/>
      <c r="D23" s="7" t="s">
        <v>77</v>
      </c>
      <c r="E23" s="7" t="s">
        <v>8</v>
      </c>
      <c r="F23" s="8" t="s">
        <v>56</v>
      </c>
      <c r="G23" s="24"/>
      <c r="H23" s="24"/>
      <c r="I23" s="8" t="str">
        <f t="shared" ref="I23:I35" si="1">I22</f>
        <v>1 11 110</v>
      </c>
      <c r="J23" s="39">
        <v>985.56</v>
      </c>
      <c r="K23" s="39"/>
      <c r="L23" s="9" t="s">
        <v>5</v>
      </c>
      <c r="M23" s="23">
        <f t="shared" si="0"/>
        <v>75067.03</v>
      </c>
      <c r="N23" s="23"/>
      <c r="O23" s="17"/>
      <c r="P23" s="17"/>
      <c r="Q23" s="4" t="s">
        <v>68</v>
      </c>
    </row>
    <row r="24" spans="1:17" ht="78" customHeight="1" outlineLevel="1" x14ac:dyDescent="0.2">
      <c r="A24" s="6">
        <v>45679</v>
      </c>
      <c r="B24" s="22" t="s">
        <v>32</v>
      </c>
      <c r="C24" s="22"/>
      <c r="D24" s="7" t="s">
        <v>80</v>
      </c>
      <c r="E24" s="7" t="s">
        <v>8</v>
      </c>
      <c r="F24" s="8" t="s">
        <v>56</v>
      </c>
      <c r="G24" s="24"/>
      <c r="H24" s="24"/>
      <c r="I24" s="8" t="str">
        <f t="shared" si="1"/>
        <v>1 11 110</v>
      </c>
      <c r="J24" s="23">
        <v>2941.87</v>
      </c>
      <c r="K24" s="23"/>
      <c r="L24" s="9" t="s">
        <v>5</v>
      </c>
      <c r="M24" s="23">
        <f t="shared" si="0"/>
        <v>72125.16</v>
      </c>
      <c r="N24" s="23"/>
      <c r="O24" s="17"/>
      <c r="P24" s="17"/>
      <c r="Q24" s="11" t="s">
        <v>59</v>
      </c>
    </row>
    <row r="25" spans="1:17" ht="78" customHeight="1" outlineLevel="1" x14ac:dyDescent="0.2">
      <c r="A25" s="6">
        <v>45679</v>
      </c>
      <c r="B25" s="22" t="s">
        <v>32</v>
      </c>
      <c r="C25" s="22"/>
      <c r="D25" s="7" t="s">
        <v>80</v>
      </c>
      <c r="E25" s="7" t="s">
        <v>8</v>
      </c>
      <c r="F25" s="8" t="s">
        <v>56</v>
      </c>
      <c r="G25" s="24"/>
      <c r="H25" s="24"/>
      <c r="I25" s="8" t="str">
        <f>I24</f>
        <v>1 11 110</v>
      </c>
      <c r="J25" s="23">
        <v>1946.28</v>
      </c>
      <c r="K25" s="23"/>
      <c r="L25" s="9" t="s">
        <v>5</v>
      </c>
      <c r="M25" s="23">
        <f t="shared" si="0"/>
        <v>70178.880000000005</v>
      </c>
      <c r="N25" s="23"/>
      <c r="O25" s="17"/>
      <c r="P25" s="17"/>
      <c r="Q25" s="11" t="s">
        <v>59</v>
      </c>
    </row>
    <row r="26" spans="1:17" ht="78" customHeight="1" outlineLevel="1" x14ac:dyDescent="0.2">
      <c r="A26" s="6">
        <v>45679</v>
      </c>
      <c r="B26" s="22" t="s">
        <v>32</v>
      </c>
      <c r="C26" s="22"/>
      <c r="D26" s="7" t="s">
        <v>81</v>
      </c>
      <c r="E26" s="7" t="s">
        <v>8</v>
      </c>
      <c r="F26" s="8" t="s">
        <v>56</v>
      </c>
      <c r="G26" s="24"/>
      <c r="H26" s="24"/>
      <c r="I26" s="8" t="str">
        <f t="shared" si="1"/>
        <v>1 11 110</v>
      </c>
      <c r="J26" s="23">
        <v>1029.82</v>
      </c>
      <c r="K26" s="23"/>
      <c r="L26" s="9" t="s">
        <v>5</v>
      </c>
      <c r="M26" s="23">
        <f t="shared" si="0"/>
        <v>69149.06</v>
      </c>
      <c r="N26" s="23"/>
      <c r="O26" s="17"/>
      <c r="P26" s="17"/>
      <c r="Q26" s="11" t="s">
        <v>59</v>
      </c>
    </row>
    <row r="27" spans="1:17" ht="78" customHeight="1" outlineLevel="1" x14ac:dyDescent="0.2">
      <c r="A27" s="6">
        <v>45679</v>
      </c>
      <c r="B27" s="22" t="s">
        <v>37</v>
      </c>
      <c r="C27" s="22"/>
      <c r="D27" s="7" t="s">
        <v>82</v>
      </c>
      <c r="E27" s="7" t="s">
        <v>8</v>
      </c>
      <c r="F27" s="8" t="s">
        <v>56</v>
      </c>
      <c r="G27" s="24"/>
      <c r="H27" s="24"/>
      <c r="I27" s="8" t="str">
        <f>I26</f>
        <v>1 11 110</v>
      </c>
      <c r="J27" s="23">
        <v>1000</v>
      </c>
      <c r="K27" s="23"/>
      <c r="L27" s="9" t="s">
        <v>5</v>
      </c>
      <c r="M27" s="23">
        <f t="shared" si="0"/>
        <v>68149.06</v>
      </c>
      <c r="N27" s="23"/>
      <c r="O27" s="17"/>
      <c r="P27" s="17"/>
      <c r="Q27" s="11" t="s">
        <v>59</v>
      </c>
    </row>
    <row r="28" spans="1:17" ht="78" customHeight="1" outlineLevel="1" x14ac:dyDescent="0.2">
      <c r="A28" s="6">
        <v>45679</v>
      </c>
      <c r="B28" s="22" t="s">
        <v>37</v>
      </c>
      <c r="C28" s="22"/>
      <c r="D28" s="7" t="s">
        <v>83</v>
      </c>
      <c r="E28" s="7" t="s">
        <v>8</v>
      </c>
      <c r="F28" s="8" t="s">
        <v>56</v>
      </c>
      <c r="G28" s="24"/>
      <c r="H28" s="24"/>
      <c r="I28" s="8" t="str">
        <f t="shared" si="1"/>
        <v>1 11 110</v>
      </c>
      <c r="J28" s="39">
        <v>300</v>
      </c>
      <c r="K28" s="39"/>
      <c r="L28" s="9" t="s">
        <v>5</v>
      </c>
      <c r="M28" s="23">
        <f t="shared" si="0"/>
        <v>67849.06</v>
      </c>
      <c r="N28" s="23"/>
      <c r="O28" s="17"/>
      <c r="P28" s="17"/>
      <c r="Q28" s="11" t="s">
        <v>59</v>
      </c>
    </row>
    <row r="29" spans="1:17" ht="78" customHeight="1" outlineLevel="1" x14ac:dyDescent="0.2">
      <c r="A29" s="6">
        <v>45679</v>
      </c>
      <c r="B29" s="22" t="s">
        <v>37</v>
      </c>
      <c r="C29" s="22"/>
      <c r="D29" s="7" t="s">
        <v>84</v>
      </c>
      <c r="E29" s="7" t="s">
        <v>8</v>
      </c>
      <c r="F29" s="8" t="s">
        <v>56</v>
      </c>
      <c r="G29" s="24"/>
      <c r="H29" s="24"/>
      <c r="I29" s="8" t="str">
        <f t="shared" si="1"/>
        <v>1 11 110</v>
      </c>
      <c r="J29" s="39">
        <v>500</v>
      </c>
      <c r="K29" s="39"/>
      <c r="L29" s="9" t="s">
        <v>5</v>
      </c>
      <c r="M29" s="23">
        <f t="shared" si="0"/>
        <v>67349.06</v>
      </c>
      <c r="N29" s="23"/>
      <c r="O29" s="17"/>
      <c r="P29" s="17"/>
      <c r="Q29" s="11" t="s">
        <v>59</v>
      </c>
    </row>
    <row r="30" spans="1:17" ht="78" customHeight="1" outlineLevel="1" x14ac:dyDescent="0.2">
      <c r="A30" s="6">
        <v>45679</v>
      </c>
      <c r="B30" s="22" t="s">
        <v>37</v>
      </c>
      <c r="C30" s="22"/>
      <c r="D30" s="7" t="s">
        <v>76</v>
      </c>
      <c r="E30" s="7" t="s">
        <v>8</v>
      </c>
      <c r="F30" s="8" t="s">
        <v>56</v>
      </c>
      <c r="G30" s="24"/>
      <c r="H30" s="24"/>
      <c r="I30" s="8" t="str">
        <f>I29</f>
        <v>1 11 110</v>
      </c>
      <c r="J30" s="39">
        <v>500</v>
      </c>
      <c r="K30" s="39"/>
      <c r="L30" s="9" t="s">
        <v>5</v>
      </c>
      <c r="M30" s="23">
        <f t="shared" si="0"/>
        <v>66849.06</v>
      </c>
      <c r="N30" s="23"/>
      <c r="O30" s="17"/>
      <c r="P30" s="17"/>
      <c r="Q30" s="11" t="s">
        <v>59</v>
      </c>
    </row>
    <row r="31" spans="1:17" ht="78" customHeight="1" outlineLevel="1" x14ac:dyDescent="0.2">
      <c r="A31" s="6">
        <v>45679</v>
      </c>
      <c r="B31" s="22" t="s">
        <v>37</v>
      </c>
      <c r="C31" s="22"/>
      <c r="D31" s="7" t="s">
        <v>99</v>
      </c>
      <c r="E31" s="7" t="s">
        <v>8</v>
      </c>
      <c r="F31" s="8" t="s">
        <v>56</v>
      </c>
      <c r="G31" s="24"/>
      <c r="H31" s="24"/>
      <c r="I31" s="8" t="str">
        <f t="shared" si="1"/>
        <v>1 11 110</v>
      </c>
      <c r="J31" s="23">
        <v>1000</v>
      </c>
      <c r="K31" s="23"/>
      <c r="L31" s="9" t="s">
        <v>5</v>
      </c>
      <c r="M31" s="23">
        <f t="shared" si="0"/>
        <v>65849.06</v>
      </c>
      <c r="N31" s="23"/>
      <c r="O31" s="17"/>
      <c r="P31" s="17"/>
      <c r="Q31" s="11" t="s">
        <v>59</v>
      </c>
    </row>
    <row r="32" spans="1:17" ht="78" customHeight="1" outlineLevel="1" x14ac:dyDescent="0.2">
      <c r="A32" s="6">
        <v>45679</v>
      </c>
      <c r="B32" s="22" t="s">
        <v>37</v>
      </c>
      <c r="C32" s="22"/>
      <c r="D32" s="7" t="s">
        <v>100</v>
      </c>
      <c r="E32" s="7" t="s">
        <v>8</v>
      </c>
      <c r="F32" s="8" t="s">
        <v>56</v>
      </c>
      <c r="G32" s="24"/>
      <c r="H32" s="24"/>
      <c r="I32" s="8" t="str">
        <f t="shared" si="1"/>
        <v>1 11 110</v>
      </c>
      <c r="J32" s="39">
        <v>200</v>
      </c>
      <c r="K32" s="39"/>
      <c r="L32" s="9" t="s">
        <v>5</v>
      </c>
      <c r="M32" s="23">
        <f t="shared" si="0"/>
        <v>65649.06</v>
      </c>
      <c r="N32" s="23"/>
      <c r="O32" s="17"/>
      <c r="P32" s="17"/>
      <c r="Q32" s="11" t="s">
        <v>59</v>
      </c>
    </row>
    <row r="33" spans="1:17" ht="78" customHeight="1" outlineLevel="1" x14ac:dyDescent="0.2">
      <c r="A33" s="6">
        <v>45679</v>
      </c>
      <c r="B33" s="22" t="s">
        <v>37</v>
      </c>
      <c r="C33" s="22"/>
      <c r="D33" s="7" t="s">
        <v>98</v>
      </c>
      <c r="E33" s="7" t="s">
        <v>8</v>
      </c>
      <c r="F33" s="8" t="s">
        <v>56</v>
      </c>
      <c r="G33" s="24"/>
      <c r="H33" s="24"/>
      <c r="I33" s="8" t="str">
        <f>I32</f>
        <v>1 11 110</v>
      </c>
      <c r="J33" s="39">
        <v>500</v>
      </c>
      <c r="K33" s="39"/>
      <c r="L33" s="9" t="s">
        <v>5</v>
      </c>
      <c r="M33" s="23">
        <f t="shared" si="0"/>
        <v>65149.06</v>
      </c>
      <c r="N33" s="23"/>
      <c r="O33" s="17"/>
      <c r="P33" s="17"/>
      <c r="Q33" s="11" t="s">
        <v>59</v>
      </c>
    </row>
    <row r="34" spans="1:17" ht="78" customHeight="1" outlineLevel="1" x14ac:dyDescent="0.2">
      <c r="A34" s="6">
        <v>45679</v>
      </c>
      <c r="B34" s="22" t="s">
        <v>37</v>
      </c>
      <c r="C34" s="22"/>
      <c r="D34" s="7" t="s">
        <v>97</v>
      </c>
      <c r="E34" s="7" t="s">
        <v>8</v>
      </c>
      <c r="F34" s="8" t="s">
        <v>56</v>
      </c>
      <c r="G34" s="24"/>
      <c r="H34" s="24"/>
      <c r="I34" s="8" t="str">
        <f t="shared" si="1"/>
        <v>1 11 110</v>
      </c>
      <c r="J34" s="39">
        <v>500</v>
      </c>
      <c r="K34" s="39"/>
      <c r="L34" s="9" t="s">
        <v>5</v>
      </c>
      <c r="M34" s="23">
        <f t="shared" si="0"/>
        <v>64649.06</v>
      </c>
      <c r="N34" s="23"/>
      <c r="O34" s="17"/>
      <c r="P34" s="17"/>
      <c r="Q34" s="11" t="s">
        <v>59</v>
      </c>
    </row>
    <row r="35" spans="1:17" ht="67.05" customHeight="1" outlineLevel="1" x14ac:dyDescent="0.2">
      <c r="A35" s="6">
        <v>45679</v>
      </c>
      <c r="B35" s="22" t="s">
        <v>38</v>
      </c>
      <c r="C35" s="22"/>
      <c r="D35" s="7" t="s">
        <v>96</v>
      </c>
      <c r="E35" s="7" t="s">
        <v>10</v>
      </c>
      <c r="F35" s="8" t="s">
        <v>57</v>
      </c>
      <c r="G35" s="24"/>
      <c r="H35" s="24"/>
      <c r="I35" s="8" t="str">
        <f t="shared" si="1"/>
        <v>1 11 110</v>
      </c>
      <c r="J35" s="23">
        <v>18600</v>
      </c>
      <c r="K35" s="23"/>
      <c r="L35" s="9" t="s">
        <v>5</v>
      </c>
      <c r="M35" s="23">
        <f t="shared" si="0"/>
        <v>46049.06</v>
      </c>
      <c r="N35" s="23"/>
      <c r="O35" s="17"/>
      <c r="P35" s="17"/>
      <c r="Q35" s="4" t="s">
        <v>58</v>
      </c>
    </row>
    <row r="36" spans="1:17" ht="67.05" customHeight="1" outlineLevel="1" x14ac:dyDescent="0.2">
      <c r="A36" s="6">
        <v>45679</v>
      </c>
      <c r="B36" s="22" t="s">
        <v>39</v>
      </c>
      <c r="C36" s="22"/>
      <c r="D36" s="7" t="s">
        <v>12</v>
      </c>
      <c r="E36" s="7" t="s">
        <v>95</v>
      </c>
      <c r="F36" s="8" t="str">
        <f>I35</f>
        <v>1 11 110</v>
      </c>
      <c r="G36" s="23">
        <v>5653.31</v>
      </c>
      <c r="H36" s="23"/>
      <c r="I36" s="8" t="s">
        <v>64</v>
      </c>
      <c r="J36" s="24"/>
      <c r="K36" s="24"/>
      <c r="L36" s="9" t="s">
        <v>5</v>
      </c>
      <c r="M36" s="23">
        <f t="shared" si="0"/>
        <v>51702.369999999995</v>
      </c>
      <c r="N36" s="23"/>
      <c r="O36" s="17"/>
      <c r="P36" s="17"/>
      <c r="Q36" s="4" t="s">
        <v>63</v>
      </c>
    </row>
    <row r="37" spans="1:17" ht="67.05" customHeight="1" outlineLevel="1" x14ac:dyDescent="0.2">
      <c r="A37" s="6">
        <v>45679</v>
      </c>
      <c r="B37" s="22" t="s">
        <v>40</v>
      </c>
      <c r="C37" s="22"/>
      <c r="D37" s="7" t="s">
        <v>11</v>
      </c>
      <c r="E37" s="7" t="s">
        <v>94</v>
      </c>
      <c r="F37" s="8" t="str">
        <f>F36</f>
        <v>1 11 110</v>
      </c>
      <c r="G37" s="23">
        <v>497000</v>
      </c>
      <c r="H37" s="23"/>
      <c r="I37" s="8" t="s">
        <v>61</v>
      </c>
      <c r="J37" s="24"/>
      <c r="K37" s="24"/>
      <c r="L37" s="9" t="s">
        <v>5</v>
      </c>
      <c r="M37" s="23">
        <f t="shared" si="0"/>
        <v>548702.37</v>
      </c>
      <c r="N37" s="23"/>
      <c r="O37" s="17"/>
      <c r="P37" s="17"/>
      <c r="Q37" s="4" t="s">
        <v>62</v>
      </c>
    </row>
    <row r="38" spans="1:17" ht="67.05" customHeight="1" outlineLevel="1" x14ac:dyDescent="0.2">
      <c r="A38" s="6">
        <v>45679</v>
      </c>
      <c r="B38" s="22" t="s">
        <v>41</v>
      </c>
      <c r="C38" s="22"/>
      <c r="D38" s="7" t="s">
        <v>93</v>
      </c>
      <c r="E38" s="7" t="s">
        <v>9</v>
      </c>
      <c r="F38" s="8" t="s">
        <v>61</v>
      </c>
      <c r="G38" s="24"/>
      <c r="H38" s="24"/>
      <c r="I38" s="8" t="str">
        <f>F37</f>
        <v>1 11 110</v>
      </c>
      <c r="J38" s="39">
        <v>140</v>
      </c>
      <c r="K38" s="39"/>
      <c r="L38" s="9" t="s">
        <v>5</v>
      </c>
      <c r="M38" s="23">
        <f t="shared" si="0"/>
        <v>548562.37</v>
      </c>
      <c r="N38" s="23"/>
      <c r="O38" s="17"/>
      <c r="P38" s="17"/>
      <c r="Q38" s="4" t="s">
        <v>62</v>
      </c>
    </row>
    <row r="39" spans="1:17" ht="67.05" customHeight="1" outlineLevel="1" x14ac:dyDescent="0.2">
      <c r="A39" s="6">
        <v>45680</v>
      </c>
      <c r="B39" s="22" t="s">
        <v>42</v>
      </c>
      <c r="C39" s="22"/>
      <c r="D39" s="7" t="s">
        <v>92</v>
      </c>
      <c r="E39" s="7" t="s">
        <v>9</v>
      </c>
      <c r="F39" s="8" t="s">
        <v>61</v>
      </c>
      <c r="G39" s="24"/>
      <c r="H39" s="24"/>
      <c r="I39" s="8" t="str">
        <f>I38</f>
        <v>1 11 110</v>
      </c>
      <c r="J39" s="39">
        <v>170</v>
      </c>
      <c r="K39" s="39"/>
      <c r="L39" s="9" t="s">
        <v>5</v>
      </c>
      <c r="M39" s="23">
        <f t="shared" si="0"/>
        <v>548392.37</v>
      </c>
      <c r="N39" s="23"/>
      <c r="O39" s="17"/>
      <c r="P39" s="17"/>
      <c r="Q39" s="4" t="s">
        <v>62</v>
      </c>
    </row>
    <row r="40" spans="1:17" ht="67.05" customHeight="1" outlineLevel="1" x14ac:dyDescent="0.2">
      <c r="A40" s="6">
        <v>45680</v>
      </c>
      <c r="B40" s="22" t="s">
        <v>43</v>
      </c>
      <c r="C40" s="22"/>
      <c r="D40" s="7" t="s">
        <v>91</v>
      </c>
      <c r="E40" s="7" t="s">
        <v>10</v>
      </c>
      <c r="F40" s="8" t="s">
        <v>57</v>
      </c>
      <c r="G40" s="24"/>
      <c r="H40" s="24"/>
      <c r="I40" s="8" t="str">
        <f>I39</f>
        <v>1 11 110</v>
      </c>
      <c r="J40" s="23">
        <v>3000</v>
      </c>
      <c r="K40" s="23"/>
      <c r="L40" s="9" t="s">
        <v>5</v>
      </c>
      <c r="M40" s="23">
        <f t="shared" si="0"/>
        <v>545392.37</v>
      </c>
      <c r="N40" s="23"/>
      <c r="O40" s="17"/>
      <c r="P40" s="17"/>
      <c r="Q40" s="4" t="s">
        <v>58</v>
      </c>
    </row>
    <row r="41" spans="1:17" ht="78" customHeight="1" outlineLevel="1" x14ac:dyDescent="0.2">
      <c r="A41" s="6">
        <v>45681</v>
      </c>
      <c r="B41" s="22" t="s">
        <v>44</v>
      </c>
      <c r="C41" s="22"/>
      <c r="D41" s="7" t="s">
        <v>90</v>
      </c>
      <c r="E41" s="7" t="s">
        <v>8</v>
      </c>
      <c r="F41" s="8" t="s">
        <v>56</v>
      </c>
      <c r="G41" s="24"/>
      <c r="H41" s="24"/>
      <c r="I41" s="8" t="str">
        <f t="shared" ref="I41:I44" si="2">I40</f>
        <v>1 11 110</v>
      </c>
      <c r="J41" s="23">
        <v>4069.78</v>
      </c>
      <c r="K41" s="23"/>
      <c r="L41" s="9" t="s">
        <v>5</v>
      </c>
      <c r="M41" s="23">
        <f t="shared" si="0"/>
        <v>541322.59</v>
      </c>
      <c r="N41" s="23"/>
      <c r="O41" s="17"/>
      <c r="P41" s="17"/>
      <c r="Q41" s="4" t="s">
        <v>68</v>
      </c>
    </row>
    <row r="42" spans="1:17" ht="78" customHeight="1" outlineLevel="1" x14ac:dyDescent="0.2">
      <c r="A42" s="6">
        <v>45681</v>
      </c>
      <c r="B42" s="22" t="s">
        <v>44</v>
      </c>
      <c r="C42" s="22"/>
      <c r="D42" s="7" t="s">
        <v>89</v>
      </c>
      <c r="E42" s="7" t="s">
        <v>8</v>
      </c>
      <c r="F42" s="8" t="s">
        <v>56</v>
      </c>
      <c r="G42" s="24"/>
      <c r="H42" s="24"/>
      <c r="I42" s="8" t="str">
        <f t="shared" si="2"/>
        <v>1 11 110</v>
      </c>
      <c r="J42" s="23">
        <v>9350.2099999999991</v>
      </c>
      <c r="K42" s="23"/>
      <c r="L42" s="9" t="s">
        <v>5</v>
      </c>
      <c r="M42" s="23">
        <f t="shared" si="0"/>
        <v>531972.38</v>
      </c>
      <c r="N42" s="23"/>
      <c r="O42" s="17"/>
      <c r="P42" s="17"/>
      <c r="Q42" s="4" t="s">
        <v>68</v>
      </c>
    </row>
    <row r="43" spans="1:17" ht="43.95" customHeight="1" outlineLevel="1" x14ac:dyDescent="0.2">
      <c r="A43" s="6">
        <v>45681</v>
      </c>
      <c r="B43" s="22" t="s">
        <v>45</v>
      </c>
      <c r="C43" s="22"/>
      <c r="D43" s="7" t="s">
        <v>88</v>
      </c>
      <c r="E43" s="7" t="s">
        <v>8</v>
      </c>
      <c r="F43" s="8" t="s">
        <v>56</v>
      </c>
      <c r="G43" s="24"/>
      <c r="H43" s="24"/>
      <c r="I43" s="8" t="str">
        <f t="shared" si="2"/>
        <v>1 11 110</v>
      </c>
      <c r="J43" s="39">
        <v>400</v>
      </c>
      <c r="K43" s="39"/>
      <c r="L43" s="9" t="s">
        <v>5</v>
      </c>
      <c r="M43" s="23">
        <f t="shared" si="0"/>
        <v>531572.38</v>
      </c>
      <c r="N43" s="23"/>
      <c r="O43" s="17"/>
      <c r="P43" s="17"/>
      <c r="Q43" s="4" t="s">
        <v>68</v>
      </c>
    </row>
    <row r="44" spans="1:17" ht="67.05" customHeight="1" outlineLevel="1" x14ac:dyDescent="0.2">
      <c r="A44" s="6">
        <v>45681</v>
      </c>
      <c r="B44" s="22" t="s">
        <v>46</v>
      </c>
      <c r="C44" s="22"/>
      <c r="D44" s="7" t="s">
        <v>87</v>
      </c>
      <c r="E44" s="7" t="s">
        <v>9</v>
      </c>
      <c r="F44" s="8" t="s">
        <v>61</v>
      </c>
      <c r="G44" s="24"/>
      <c r="H44" s="24"/>
      <c r="I44" s="8" t="str">
        <f t="shared" si="2"/>
        <v>1 11 110</v>
      </c>
      <c r="J44" s="23">
        <v>11000</v>
      </c>
      <c r="K44" s="23"/>
      <c r="L44" s="9" t="s">
        <v>5</v>
      </c>
      <c r="M44" s="23">
        <f t="shared" si="0"/>
        <v>520572.38</v>
      </c>
      <c r="N44" s="23"/>
      <c r="O44" s="17"/>
      <c r="P44" s="17"/>
      <c r="Q44" s="4" t="s">
        <v>62</v>
      </c>
    </row>
    <row r="45" spans="1:17" ht="67.05" customHeight="1" outlineLevel="1" x14ac:dyDescent="0.2">
      <c r="A45" s="6">
        <v>45685</v>
      </c>
      <c r="B45" s="22" t="s">
        <v>47</v>
      </c>
      <c r="C45" s="22"/>
      <c r="D45" s="7" t="s">
        <v>6</v>
      </c>
      <c r="E45" s="7" t="s">
        <v>13</v>
      </c>
      <c r="F45" s="8" t="str">
        <f>I44</f>
        <v>1 11 110</v>
      </c>
      <c r="G45" s="23">
        <v>10000</v>
      </c>
      <c r="H45" s="23"/>
      <c r="I45" s="8" t="s">
        <v>55</v>
      </c>
      <c r="J45" s="24"/>
      <c r="K45" s="24"/>
      <c r="L45" s="9" t="s">
        <v>5</v>
      </c>
      <c r="M45" s="23">
        <f t="shared" si="0"/>
        <v>530572.38</v>
      </c>
      <c r="N45" s="23"/>
      <c r="O45" s="17"/>
      <c r="P45" s="17"/>
      <c r="Q45" s="10" t="s">
        <v>60</v>
      </c>
    </row>
    <row r="46" spans="1:17" ht="55.95" customHeight="1" outlineLevel="1" x14ac:dyDescent="0.2">
      <c r="A46" s="6">
        <v>45685</v>
      </c>
      <c r="B46" s="22" t="s">
        <v>48</v>
      </c>
      <c r="C46" s="22"/>
      <c r="D46" s="7" t="s">
        <v>86</v>
      </c>
      <c r="E46" s="7" t="s">
        <v>10</v>
      </c>
      <c r="F46" s="8" t="s">
        <v>66</v>
      </c>
      <c r="G46" s="24"/>
      <c r="H46" s="24"/>
      <c r="I46" s="8" t="str">
        <f>I44</f>
        <v>1 11 110</v>
      </c>
      <c r="J46" s="23">
        <v>110970.54</v>
      </c>
      <c r="K46" s="23"/>
      <c r="L46" s="9" t="s">
        <v>5</v>
      </c>
      <c r="M46" s="23">
        <f t="shared" si="0"/>
        <v>419601.84</v>
      </c>
      <c r="N46" s="23"/>
      <c r="O46" s="17"/>
      <c r="P46" s="17"/>
      <c r="Q46" s="4" t="s">
        <v>67</v>
      </c>
    </row>
    <row r="47" spans="1:17" ht="78" customHeight="1" outlineLevel="1" x14ac:dyDescent="0.2">
      <c r="A47" s="6">
        <v>45685</v>
      </c>
      <c r="B47" s="22" t="s">
        <v>49</v>
      </c>
      <c r="C47" s="22"/>
      <c r="D47" s="7" t="s">
        <v>86</v>
      </c>
      <c r="E47" s="7" t="s">
        <v>10</v>
      </c>
      <c r="F47" s="8" t="s">
        <v>57</v>
      </c>
      <c r="G47" s="24"/>
      <c r="H47" s="24"/>
      <c r="I47" s="8" t="str">
        <f>I46</f>
        <v>1 11 110</v>
      </c>
      <c r="J47" s="23">
        <v>99929.91</v>
      </c>
      <c r="K47" s="23"/>
      <c r="L47" s="9" t="s">
        <v>5</v>
      </c>
      <c r="M47" s="23">
        <f t="shared" si="0"/>
        <v>319671.93000000005</v>
      </c>
      <c r="N47" s="23"/>
      <c r="O47" s="17"/>
      <c r="P47" s="17"/>
      <c r="Q47" s="4" t="s">
        <v>58</v>
      </c>
    </row>
    <row r="48" spans="1:17" ht="67.05" customHeight="1" outlineLevel="1" x14ac:dyDescent="0.2">
      <c r="A48" s="6">
        <v>45686</v>
      </c>
      <c r="B48" s="22" t="s">
        <v>50</v>
      </c>
      <c r="C48" s="22"/>
      <c r="D48" s="7" t="s">
        <v>14</v>
      </c>
      <c r="E48" s="7" t="s">
        <v>85</v>
      </c>
      <c r="F48" s="8" t="str">
        <f>I47</f>
        <v>1 11 110</v>
      </c>
      <c r="G48" s="39">
        <v>698.42</v>
      </c>
      <c r="H48" s="39"/>
      <c r="I48" s="8" t="s">
        <v>56</v>
      </c>
      <c r="J48" s="24"/>
      <c r="K48" s="24"/>
      <c r="L48" s="9" t="s">
        <v>5</v>
      </c>
      <c r="M48" s="23">
        <f t="shared" si="0"/>
        <v>320370.35000000003</v>
      </c>
      <c r="N48" s="23"/>
      <c r="O48" s="17"/>
      <c r="P48" s="17"/>
      <c r="Q48" s="4" t="s">
        <v>65</v>
      </c>
    </row>
    <row r="49" spans="1:17" ht="67.05" customHeight="1" outlineLevel="1" x14ac:dyDescent="0.2">
      <c r="A49" s="6">
        <v>45686</v>
      </c>
      <c r="B49" s="22" t="s">
        <v>51</v>
      </c>
      <c r="C49" s="22"/>
      <c r="D49" s="7" t="s">
        <v>76</v>
      </c>
      <c r="E49" s="7" t="s">
        <v>9</v>
      </c>
      <c r="F49" s="8" t="s">
        <v>61</v>
      </c>
      <c r="G49" s="24"/>
      <c r="H49" s="24"/>
      <c r="I49" s="8" t="str">
        <f>F48</f>
        <v>1 11 110</v>
      </c>
      <c r="J49" s="39">
        <v>800</v>
      </c>
      <c r="K49" s="39"/>
      <c r="L49" s="9" t="s">
        <v>5</v>
      </c>
      <c r="M49" s="23">
        <f t="shared" si="0"/>
        <v>319570.35000000003</v>
      </c>
      <c r="N49" s="23"/>
      <c r="O49" s="17"/>
      <c r="P49" s="17"/>
      <c r="Q49" s="4" t="s">
        <v>62</v>
      </c>
    </row>
    <row r="50" spans="1:17" ht="13.05" customHeight="1" x14ac:dyDescent="0.2">
      <c r="A50" s="40" t="s">
        <v>52</v>
      </c>
      <c r="B50" s="40"/>
      <c r="C50" s="40"/>
      <c r="D50" s="40"/>
      <c r="E50" s="40"/>
      <c r="F50" s="41">
        <f>SUM(G9:H49)</f>
        <v>607951.7300000001</v>
      </c>
      <c r="G50" s="41"/>
      <c r="H50" s="41"/>
      <c r="I50" s="41">
        <f>SUM(J9:K49)</f>
        <v>288853.96999999997</v>
      </c>
      <c r="J50" s="41"/>
      <c r="K50" s="41"/>
      <c r="L50" s="13" t="s">
        <v>5</v>
      </c>
      <c r="M50" s="42">
        <f>M8+F50-I50</f>
        <v>319570.35000000009</v>
      </c>
      <c r="N50" s="42"/>
      <c r="O50" s="18"/>
      <c r="P50" s="18"/>
    </row>
  </sheetData>
  <mergeCells count="184">
    <mergeCell ref="M48:N48"/>
    <mergeCell ref="B48:C48"/>
    <mergeCell ref="G48:H48"/>
    <mergeCell ref="J48:K48"/>
    <mergeCell ref="B44:C44"/>
    <mergeCell ref="G44:H44"/>
    <mergeCell ref="J44:K44"/>
    <mergeCell ref="M44:N44"/>
    <mergeCell ref="A50:E50"/>
    <mergeCell ref="F50:H50"/>
    <mergeCell ref="I50:K50"/>
    <mergeCell ref="M50:N50"/>
    <mergeCell ref="B49:C49"/>
    <mergeCell ref="G49:H49"/>
    <mergeCell ref="J49:K49"/>
    <mergeCell ref="M49:N49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37:C37"/>
    <mergeCell ref="G37:H37"/>
    <mergeCell ref="J37:K37"/>
    <mergeCell ref="M37:N37"/>
    <mergeCell ref="B39:C39"/>
    <mergeCell ref="G39:H39"/>
    <mergeCell ref="J39:K39"/>
    <mergeCell ref="M39:N39"/>
    <mergeCell ref="B40:C40"/>
    <mergeCell ref="G40:H40"/>
    <mergeCell ref="J40:K40"/>
    <mergeCell ref="M40:N40"/>
    <mergeCell ref="B38:C38"/>
    <mergeCell ref="G38:H38"/>
    <mergeCell ref="J38:K38"/>
    <mergeCell ref="M38:N38"/>
    <mergeCell ref="B34:C34"/>
    <mergeCell ref="G34:H34"/>
    <mergeCell ref="J34:K34"/>
    <mergeCell ref="M34:N34"/>
    <mergeCell ref="B32:C32"/>
    <mergeCell ref="G32:H32"/>
    <mergeCell ref="J32:K32"/>
    <mergeCell ref="M32:N32"/>
    <mergeCell ref="B33:C33"/>
    <mergeCell ref="G33:H33"/>
    <mergeCell ref="J33:K33"/>
    <mergeCell ref="M33:N33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23:C23"/>
    <mergeCell ref="G23:H23"/>
    <mergeCell ref="J23:K23"/>
    <mergeCell ref="M23:N23"/>
    <mergeCell ref="B24:C24"/>
    <mergeCell ref="G24:H24"/>
    <mergeCell ref="J24:K24"/>
    <mergeCell ref="M24:N24"/>
    <mergeCell ref="B30:C30"/>
    <mergeCell ref="G30:H30"/>
    <mergeCell ref="J30:K30"/>
    <mergeCell ref="M30:N30"/>
    <mergeCell ref="B25:C25"/>
    <mergeCell ref="G25:H25"/>
    <mergeCell ref="J25:K25"/>
    <mergeCell ref="M25:N25"/>
    <mergeCell ref="B21:C21"/>
    <mergeCell ref="G21:H21"/>
    <mergeCell ref="J21:K21"/>
    <mergeCell ref="M21:N21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2:C22"/>
    <mergeCell ref="G22:H22"/>
    <mergeCell ref="J22:K22"/>
    <mergeCell ref="M22:N22"/>
    <mergeCell ref="M17:N17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B13:C13"/>
    <mergeCell ref="G13:H13"/>
    <mergeCell ref="J13:K13"/>
    <mergeCell ref="M13:N13"/>
    <mergeCell ref="B14:C14"/>
    <mergeCell ref="G14:H14"/>
    <mergeCell ref="J14:K14"/>
    <mergeCell ref="M14:N14"/>
    <mergeCell ref="B10:C10"/>
    <mergeCell ref="G10:H10"/>
    <mergeCell ref="J10:K10"/>
    <mergeCell ref="M10:N10"/>
    <mergeCell ref="M11:N11"/>
    <mergeCell ref="M12:N12"/>
    <mergeCell ref="B11:C11"/>
    <mergeCell ref="G11:H11"/>
    <mergeCell ref="J11:K11"/>
    <mergeCell ref="B12:C12"/>
    <mergeCell ref="G12:H12"/>
    <mergeCell ref="J12:K12"/>
    <mergeCell ref="A8:E8"/>
    <mergeCell ref="F8:K8"/>
    <mergeCell ref="M8:N8"/>
    <mergeCell ref="B9:C9"/>
    <mergeCell ref="G9:H9"/>
    <mergeCell ref="J9:K9"/>
    <mergeCell ref="M9:N9"/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G7:H7"/>
    <mergeCell ref="J7:K7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2026-01-05T18:38:38Z</dcterms:modified>
</cp:coreProperties>
</file>