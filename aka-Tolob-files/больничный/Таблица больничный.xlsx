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sirovt\Desktop\"/>
    </mc:Choice>
  </mc:AlternateContent>
  <xr:revisionPtr revIDLastSave="0" documentId="13_ncr:1_{0B3F2EBA-1894-4E50-8A13-7DE8D5DBDA46}" xr6:coauthVersionLast="47" xr6:coauthVersionMax="47" xr10:uidLastSave="{00000000-0000-0000-0000-000000000000}"/>
  <bookViews>
    <workbookView xWindow="-108" yWindow="-108" windowWidth="23256" windowHeight="12576" tabRatio="0" xr2:uid="{00000000-000D-0000-FFFF-FFFF00000000}"/>
  </bookViews>
  <sheets>
    <sheet name="TDSheet" sheetId="1" r:id="rId1"/>
  </sheets>
  <calcPr calcId="181029"/>
</workbook>
</file>

<file path=xl/calcChain.xml><?xml version="1.0" encoding="utf-8"?>
<calcChain xmlns="http://schemas.openxmlformats.org/spreadsheetml/2006/main">
  <c r="E28" i="1" l="1"/>
  <c r="H26" i="1"/>
  <c r="E21" i="1"/>
  <c r="H19" i="1"/>
  <c r="H17" i="1"/>
  <c r="H18" i="1"/>
  <c r="H16" i="1"/>
  <c r="G19" i="1"/>
</calcChain>
</file>

<file path=xl/sharedStrings.xml><?xml version="1.0" encoding="utf-8"?>
<sst xmlns="http://schemas.openxmlformats.org/spreadsheetml/2006/main" count="39" uniqueCount="39">
  <si>
    <t>Расчет среднего заработка</t>
  </si>
  <si>
    <t>Период нетрудоспособности: с 23.01.2020 по 30.01.2020 г.</t>
  </si>
  <si>
    <t>Табельный номер:</t>
  </si>
  <si>
    <t>ФИО:</t>
  </si>
  <si>
    <t>Количество дней нетрудоспособности:</t>
  </si>
  <si>
    <t>4</t>
  </si>
  <si>
    <t>Процент оплаты:</t>
  </si>
  <si>
    <t>Структурное подразделение:</t>
  </si>
  <si>
    <t>1. Расчет среднего заработка:</t>
  </si>
  <si>
    <t>Месяц</t>
  </si>
  <si>
    <t>Норма дней</t>
  </si>
  <si>
    <t>Норма часов</t>
  </si>
  <si>
    <t>Отработано дней</t>
  </si>
  <si>
    <t>Отработано часов</t>
  </si>
  <si>
    <t>Рабочие</t>
  </si>
  <si>
    <t>Начислено</t>
  </si>
  <si>
    <t>Базовая сумма</t>
  </si>
  <si>
    <t>01.12.2019</t>
  </si>
  <si>
    <t>01.11.2019</t>
  </si>
  <si>
    <t>01.10.2019</t>
  </si>
  <si>
    <t>ИТОГО:</t>
  </si>
  <si>
    <t>Годовая премия -</t>
  </si>
  <si>
    <t>Среднедневной заработок -</t>
  </si>
  <si>
    <t>2. Начисления за расчетный период:</t>
  </si>
  <si>
    <t>Вид расчета</t>
  </si>
  <si>
    <t>Дата начала</t>
  </si>
  <si>
    <t>Дата окончания</t>
  </si>
  <si>
    <t>Дни</t>
  </si>
  <si>
    <t>Сумма</t>
  </si>
  <si>
    <t>Оплата больничных листов</t>
  </si>
  <si>
    <t>23.01.2020</t>
  </si>
  <si>
    <t>30.01.2020</t>
  </si>
  <si>
    <t>Общая сумма начисленного пособия -</t>
  </si>
  <si>
    <t>Бухгалтер:</t>
  </si>
  <si>
    <t>Организация: ФЭУ</t>
  </si>
  <si>
    <t>По документу "Больничный лист" № 1234 от 31.01.2020 г.</t>
  </si>
  <si>
    <t>====</t>
  </si>
  <si>
    <t>=====</t>
  </si>
  <si>
    <t>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</si>
</sst>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\-0.00"/>
    <numFmt numFmtId="165" formatCode="0;[Red]\-0"/>
  </numFmts>
  <fonts count="6" x14ac:knownFonts="1">
    <font>
      <sz val="8"/>
      <name val="Arial"/>
    </font>
    <font>
      <sz val="10"/>
      <name val="Verdana"/>
      <family val="2"/>
    </font>
    <font>
      <b/>
      <sz val="10"/>
      <name val="Verdana"/>
      <family val="2"/>
    </font>
    <font>
      <b/>
      <sz val="12"/>
      <name val="Verdana"/>
      <family val="2"/>
    </font>
    <font>
      <b/>
      <sz val="8"/>
      <name val="Verdana"/>
      <family val="2"/>
    </font>
    <font>
      <b/>
      <sz val="9"/>
      <name val="Verdana"/>
      <family val="1"/>
    </font>
  </fonts>
  <fills count="4">
    <fill>
      <patternFill patternType="none"/>
    </fill>
    <fill>
      <patternFill patternType="gray125"/>
    </fill>
    <fill>
      <patternFill patternType="solid">
        <fgColor rgb="FFF8F8F8"/>
      </patternFill>
    </fill>
    <fill>
      <patternFill patternType="solid">
        <fgColor rgb="FFE3E3E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5" fontId="1" fillId="0" borderId="3" xfId="0" applyNumberFormat="1" applyFont="1" applyBorder="1" applyAlignment="1">
      <alignment horizontal="right"/>
    </xf>
    <xf numFmtId="38" fontId="1" fillId="0" borderId="3" xfId="0" applyNumberFormat="1" applyFont="1" applyBorder="1" applyAlignment="1">
      <alignment horizontal="right"/>
    </xf>
    <xf numFmtId="40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3" fontId="2" fillId="0" borderId="3" xfId="0" applyNumberFormat="1" applyFont="1" applyBorder="1" applyAlignment="1">
      <alignment horizontal="right"/>
    </xf>
    <xf numFmtId="2" fontId="1" fillId="0" borderId="0" xfId="0" applyNumberFormat="1" applyFont="1" applyAlignment="1">
      <alignment horizontal="right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/>
    </xf>
    <xf numFmtId="0" fontId="1" fillId="0" borderId="0" xfId="0" quotePrefix="1" applyFont="1" applyAlignment="1">
      <alignment horizontal="left" wrapText="1"/>
    </xf>
    <xf numFmtId="0" fontId="1" fillId="0" borderId="0" xfId="0" quotePrefix="1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31"/>
  <sheetViews>
    <sheetView tabSelected="1" zoomScaleNormal="100" workbookViewId="0">
      <selection activeCell="M12" sqref="M12"/>
    </sheetView>
  </sheetViews>
  <sheetFormatPr defaultColWidth="10.42578125" defaultRowHeight="11.4" customHeight="1" x14ac:dyDescent="0.2"/>
  <cols>
    <col min="1" max="1" width="0.85546875" style="1" customWidth="1"/>
    <col min="2" max="2" width="16" style="1" customWidth="1"/>
    <col min="3" max="3" width="14.28515625" style="1" customWidth="1"/>
    <col min="4" max="4" width="15.42578125" style="1" customWidth="1"/>
    <col min="5" max="5" width="14.7109375" style="1" customWidth="1"/>
    <col min="6" max="6" width="14.85546875" style="1" customWidth="1"/>
    <col min="7" max="7" width="21.42578125" style="1" customWidth="1"/>
    <col min="8" max="8" width="19.28515625" style="1" customWidth="1"/>
    <col min="9" max="9" width="1.140625" style="1" customWidth="1"/>
  </cols>
  <sheetData>
    <row r="1" spans="2:8" s="1" customFormat="1" ht="13.05" customHeight="1" x14ac:dyDescent="0.2"/>
    <row r="2" spans="2:8" s="2" customFormat="1" ht="13.05" customHeight="1" x14ac:dyDescent="0.2">
      <c r="B2" s="19" t="s">
        <v>34</v>
      </c>
      <c r="C2" s="19"/>
      <c r="D2" s="19"/>
      <c r="E2" s="19"/>
      <c r="F2" s="19"/>
      <c r="G2" s="19"/>
      <c r="H2" s="19"/>
    </row>
    <row r="3" spans="2:8" s="2" customFormat="1" ht="19.95" customHeight="1" x14ac:dyDescent="0.2">
      <c r="B3" s="20" t="s">
        <v>0</v>
      </c>
      <c r="C3" s="20"/>
      <c r="D3" s="20"/>
      <c r="E3" s="20"/>
      <c r="F3" s="20"/>
      <c r="G3" s="20"/>
      <c r="H3" s="20"/>
    </row>
    <row r="4" spans="2:8" s="1" customFormat="1" ht="13.05" customHeight="1" x14ac:dyDescent="0.2">
      <c r="B4" s="21" t="s">
        <v>35</v>
      </c>
      <c r="C4" s="21"/>
      <c r="D4" s="21"/>
      <c r="E4" s="21"/>
      <c r="F4" s="21"/>
      <c r="G4" s="21"/>
      <c r="H4" s="21"/>
    </row>
    <row r="5" spans="2:8" s="1" customFormat="1" ht="13.05" customHeight="1" x14ac:dyDescent="0.2">
      <c r="B5" s="22" t="s">
        <v>1</v>
      </c>
      <c r="C5" s="22"/>
      <c r="D5" s="22"/>
      <c r="E5" s="22"/>
      <c r="F5" s="22"/>
      <c r="G5" s="22"/>
      <c r="H5" s="22"/>
    </row>
    <row r="6" spans="2:8" s="1" customFormat="1" ht="13.05" customHeight="1" x14ac:dyDescent="0.2"/>
    <row r="7" spans="2:8" s="1" customFormat="1" ht="13.05" customHeight="1" x14ac:dyDescent="0.2">
      <c r="B7" s="23" t="s">
        <v>2</v>
      </c>
      <c r="C7" s="23"/>
      <c r="E7" s="32" t="s">
        <v>36</v>
      </c>
    </row>
    <row r="8" spans="2:8" s="1" customFormat="1" ht="13.05" customHeight="1" x14ac:dyDescent="0.2">
      <c r="B8" s="23" t="s">
        <v>3</v>
      </c>
      <c r="C8" s="23"/>
      <c r="E8" s="33" t="s">
        <v>37</v>
      </c>
      <c r="F8" s="23"/>
      <c r="G8" s="23"/>
      <c r="H8" s="23"/>
    </row>
    <row r="9" spans="2:8" s="1" customFormat="1" ht="13.05" customHeight="1" x14ac:dyDescent="0.2">
      <c r="B9" s="1" t="s">
        <v>4</v>
      </c>
      <c r="E9" s="1" t="s">
        <v>5</v>
      </c>
    </row>
    <row r="10" spans="2:8" s="1" customFormat="1" ht="13.05" customHeight="1" x14ac:dyDescent="0.2">
      <c r="B10" s="22" t="s">
        <v>6</v>
      </c>
      <c r="C10" s="22"/>
      <c r="E10" s="1">
        <v>70</v>
      </c>
    </row>
    <row r="11" spans="2:8" s="1" customFormat="1" ht="13.05" customHeight="1" x14ac:dyDescent="0.2">
      <c r="B11" s="23" t="s">
        <v>7</v>
      </c>
      <c r="C11" s="23"/>
      <c r="D11" s="23"/>
      <c r="E11" s="33" t="s">
        <v>38</v>
      </c>
      <c r="F11" s="23"/>
      <c r="G11" s="23"/>
      <c r="H11" s="23"/>
    </row>
    <row r="12" spans="2:8" s="1" customFormat="1" ht="18" customHeight="1" x14ac:dyDescent="0.2">
      <c r="B12" s="24" t="s">
        <v>8</v>
      </c>
      <c r="C12" s="24"/>
      <c r="D12" s="24"/>
      <c r="E12" s="24"/>
      <c r="F12" s="24"/>
      <c r="G12" s="24"/>
      <c r="H12" s="24"/>
    </row>
    <row r="13" spans="2:8" s="1" customFormat="1" ht="7.95" customHeight="1" x14ac:dyDescent="0.2"/>
    <row r="14" spans="2:8" s="2" customFormat="1" ht="13.05" customHeight="1" x14ac:dyDescent="0.2">
      <c r="B14" s="25" t="s">
        <v>9</v>
      </c>
      <c r="C14" s="27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9"/>
    </row>
    <row r="15" spans="2:8" s="1" customFormat="1" ht="18" customHeight="1" x14ac:dyDescent="0.2">
      <c r="B15" s="26"/>
      <c r="C15" s="28"/>
      <c r="D15" s="28"/>
      <c r="E15" s="28"/>
      <c r="F15" s="28"/>
      <c r="G15" s="4" t="s">
        <v>15</v>
      </c>
      <c r="H15" s="4" t="s">
        <v>16</v>
      </c>
    </row>
    <row r="16" spans="2:8" s="1" customFormat="1" ht="13.05" customHeight="1" x14ac:dyDescent="0.2">
      <c r="B16" s="5" t="s">
        <v>17</v>
      </c>
      <c r="C16" s="6"/>
      <c r="D16" s="6"/>
      <c r="E16" s="7">
        <v>22</v>
      </c>
      <c r="F16" s="8">
        <v>176</v>
      </c>
      <c r="G16" s="9">
        <v>2400</v>
      </c>
      <c r="H16" s="10">
        <f>G16</f>
        <v>2400</v>
      </c>
    </row>
    <row r="17" spans="2:8" s="1" customFormat="1" ht="13.05" customHeight="1" x14ac:dyDescent="0.2">
      <c r="B17" s="5" t="s">
        <v>18</v>
      </c>
      <c r="C17" s="6"/>
      <c r="D17" s="6"/>
      <c r="E17" s="7">
        <v>21</v>
      </c>
      <c r="F17" s="8">
        <v>168</v>
      </c>
      <c r="G17" s="9">
        <v>3500</v>
      </c>
      <c r="H17" s="10">
        <f t="shared" ref="H17:H18" si="0">G17</f>
        <v>3500</v>
      </c>
    </row>
    <row r="18" spans="2:8" s="1" customFormat="1" ht="13.05" customHeight="1" x14ac:dyDescent="0.2">
      <c r="B18" s="5" t="s">
        <v>19</v>
      </c>
      <c r="C18" s="6"/>
      <c r="D18" s="6"/>
      <c r="E18" s="8">
        <v>22</v>
      </c>
      <c r="F18" s="8">
        <v>176</v>
      </c>
      <c r="G18" s="9">
        <v>2400</v>
      </c>
      <c r="H18" s="10">
        <f t="shared" si="0"/>
        <v>2400</v>
      </c>
    </row>
    <row r="19" spans="2:8" s="1" customFormat="1" ht="13.05" customHeight="1" x14ac:dyDescent="0.2">
      <c r="F19" s="11" t="s">
        <v>20</v>
      </c>
      <c r="G19" s="12">
        <f>SUM(G16:G18)</f>
        <v>8300</v>
      </c>
      <c r="H19" s="12">
        <f>SUM(H16:H18)</f>
        <v>8300</v>
      </c>
    </row>
    <row r="20" spans="2:8" s="1" customFormat="1" ht="13.05" customHeight="1" x14ac:dyDescent="0.2">
      <c r="B20" s="3" t="s">
        <v>21</v>
      </c>
    </row>
    <row r="21" spans="2:8" s="1" customFormat="1" ht="13.05" customHeight="1" x14ac:dyDescent="0.2">
      <c r="B21" s="3" t="s">
        <v>22</v>
      </c>
      <c r="E21" s="13">
        <f>(8300/(22+21+22))*70%</f>
        <v>89.384615384615387</v>
      </c>
    </row>
    <row r="22" spans="2:8" s="1" customFormat="1" ht="13.05" customHeight="1" x14ac:dyDescent="0.2"/>
    <row r="23" spans="2:8" s="1" customFormat="1" ht="16.95" customHeight="1" x14ac:dyDescent="0.2">
      <c r="B23" s="24" t="s">
        <v>23</v>
      </c>
      <c r="C23" s="24"/>
      <c r="D23" s="24"/>
      <c r="E23" s="24"/>
      <c r="F23" s="24"/>
      <c r="G23" s="24"/>
      <c r="H23" s="24"/>
    </row>
    <row r="24" spans="2:8" s="1" customFormat="1" ht="7.95" customHeight="1" x14ac:dyDescent="0.2"/>
    <row r="25" spans="2:8" s="1" customFormat="1" ht="25.95" customHeight="1" x14ac:dyDescent="0.2">
      <c r="B25" s="30" t="s">
        <v>24</v>
      </c>
      <c r="C25" s="30"/>
      <c r="D25" s="30"/>
      <c r="E25" s="15" t="s">
        <v>25</v>
      </c>
      <c r="F25" s="15" t="s">
        <v>26</v>
      </c>
      <c r="G25" s="14" t="s">
        <v>27</v>
      </c>
      <c r="H25" s="14" t="s">
        <v>28</v>
      </c>
    </row>
    <row r="26" spans="2:8" s="1" customFormat="1" ht="13.05" customHeight="1" x14ac:dyDescent="0.2">
      <c r="B26" s="31" t="s">
        <v>29</v>
      </c>
      <c r="C26" s="31"/>
      <c r="D26" s="31"/>
      <c r="E26" s="5" t="s">
        <v>30</v>
      </c>
      <c r="F26" s="5" t="s">
        <v>31</v>
      </c>
      <c r="G26" s="8">
        <v>4</v>
      </c>
      <c r="H26" s="7">
        <f>G26*E21</f>
        <v>357.53846153846155</v>
      </c>
    </row>
    <row r="27" spans="2:8" s="1" customFormat="1" ht="13.05" customHeight="1" x14ac:dyDescent="0.2"/>
    <row r="28" spans="2:8" s="1" customFormat="1" ht="13.05" customHeight="1" x14ac:dyDescent="0.2">
      <c r="B28" s="16" t="s">
        <v>32</v>
      </c>
      <c r="E28" s="17">
        <f>H26</f>
        <v>357.53846153846155</v>
      </c>
    </row>
    <row r="29" spans="2:8" s="1" customFormat="1" ht="13.05" customHeight="1" x14ac:dyDescent="0.2"/>
    <row r="30" spans="2:8" s="1" customFormat="1" ht="13.05" customHeight="1" x14ac:dyDescent="0.2">
      <c r="B30" s="18" t="s">
        <v>33</v>
      </c>
    </row>
    <row r="31" spans="2:8" s="1" customFormat="1" ht="13.05" customHeight="1" x14ac:dyDescent="0.2"/>
  </sheetData>
  <mergeCells count="20">
    <mergeCell ref="B23:H23"/>
    <mergeCell ref="B25:D25"/>
    <mergeCell ref="B26:D26"/>
    <mergeCell ref="B12:H12"/>
    <mergeCell ref="B14:B15"/>
    <mergeCell ref="C14:C15"/>
    <mergeCell ref="D14:D15"/>
    <mergeCell ref="E14:E15"/>
    <mergeCell ref="F14:F15"/>
    <mergeCell ref="G14:H14"/>
    <mergeCell ref="B8:C8"/>
    <mergeCell ref="E8:H8"/>
    <mergeCell ref="B10:C10"/>
    <mergeCell ref="B11:D11"/>
    <mergeCell ref="E11:H11"/>
    <mergeCell ref="B2:H2"/>
    <mergeCell ref="B3:H3"/>
    <mergeCell ref="B4:H4"/>
    <mergeCell ref="B5:H5"/>
    <mergeCell ref="B7:C7"/>
  </mergeCells>
  <pageMargins left="0.75" right="1" top="0.75" bottom="1" header="0.5" footer="0.5"/>
  <pageSetup paperSize="9" scale="9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Носиров Толиб Саидахмадович</cp:lastModifiedBy>
  <dcterms:modified xsi:type="dcterms:W3CDTF">2025-12-10T11:30:07Z</dcterms:modified>
</cp:coreProperties>
</file>